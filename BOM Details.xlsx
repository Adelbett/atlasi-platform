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him\Desktop\شركة الاطلس\مظلات الاطلس\"/>
    </mc:Choice>
  </mc:AlternateContent>
  <xr:revisionPtr revIDLastSave="0" documentId="13_ncr:1_{CDFCA3B9-FDEA-4CF1-B890-F6DA22121FD2}" xr6:coauthVersionLast="47" xr6:coauthVersionMax="47" xr10:uidLastSave="{00000000-0000-0000-0000-000000000000}"/>
  <bookViews>
    <workbookView xWindow="-108" yWindow="-108" windowWidth="23256" windowHeight="12456" xr2:uid="{DD749E31-13F4-4031-B556-8709615CD516}"/>
  </bookViews>
  <sheets>
    <sheet name="Pricing" sheetId="2" r:id="rId1"/>
    <sheet name="BOM Details" sheetId="1" r:id="rId2"/>
  </sheets>
  <definedNames>
    <definedName name="_xlnm.Print_Area" localSheetId="0">Pricing!$Q$37:$W$48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6" i="2" l="1"/>
  <c r="V45" i="2"/>
  <c r="V47" i="2" s="1"/>
  <c r="V32" i="2"/>
  <c r="V34" i="2" s="1"/>
  <c r="V22" i="2"/>
  <c r="V20" i="2"/>
  <c r="V21" i="2" s="1"/>
  <c r="V8" i="2"/>
  <c r="V10" i="2" s="1"/>
  <c r="N59" i="2"/>
  <c r="N43" i="2"/>
  <c r="N58" i="2"/>
  <c r="N60" i="2" s="1"/>
  <c r="N41" i="2"/>
  <c r="N42" i="2" s="1"/>
  <c r="N25" i="2"/>
  <c r="N26" i="2" s="1"/>
  <c r="N11" i="2"/>
  <c r="N13" i="2" s="1"/>
  <c r="F27" i="2"/>
  <c r="F29" i="2" s="1"/>
  <c r="F11" i="2"/>
  <c r="F12" i="2" s="1"/>
  <c r="N27" i="2" l="1"/>
  <c r="V33" i="2"/>
  <c r="V9" i="2"/>
  <c r="N12" i="2"/>
  <c r="F28" i="2"/>
  <c r="F13" i="2"/>
</calcChain>
</file>

<file path=xl/sharedStrings.xml><?xml version="1.0" encoding="utf-8"?>
<sst xmlns="http://schemas.openxmlformats.org/spreadsheetml/2006/main" count="627" uniqueCount="108">
  <si>
    <t>الموديل</t>
  </si>
  <si>
    <t>البند</t>
  </si>
  <si>
    <t>الوصف الفني</t>
  </si>
  <si>
    <t>الكمية</t>
  </si>
  <si>
    <t>الطول/المقاس</t>
  </si>
  <si>
    <t>الملاحظات</t>
  </si>
  <si>
    <t>ATL-1S</t>
  </si>
  <si>
    <t>ماسورة سفلية مستطيلة</t>
  </si>
  <si>
    <t>60*30 مم (سماكة 2.5 مم)</t>
  </si>
  <si>
    <t>5.8 م</t>
  </si>
  <si>
    <t>مواسير تدعيم</t>
  </si>
  <si>
    <t>1.5 بوصة (سماكة 1.5 مم)</t>
  </si>
  <si>
    <t>أقواس الهيكل (90°)</t>
  </si>
  <si>
    <t>2 بوصة (سماكة 2.5 مم)</t>
  </si>
  <si>
    <t>2.2م × 3.5م</t>
  </si>
  <si>
    <t>مشداة مسك تدعيم</t>
  </si>
  <si>
    <t>50 مم × 20 مم (سماكة 2.5 مم)</t>
  </si>
  <si>
    <t>-</t>
  </si>
  <si>
    <t>برغي تثبيت مشداة</t>
  </si>
  <si>
    <t>طول 25 مم</t>
  </si>
  <si>
    <t>أسياخ تثبيت أرضية</t>
  </si>
  <si>
    <t>طول 120 مم</t>
  </si>
  <si>
    <t>قماش المظلة</t>
  </si>
  <si>
    <t>PVC 1100 كوري</t>
  </si>
  <si>
    <t>5.8م × 6.5م</t>
  </si>
  <si>
    <t>قماش خلفي</t>
  </si>
  <si>
    <t>PVC 1100</t>
  </si>
  <si>
    <t>اختياري</t>
  </si>
  <si>
    <t>ATL-1B</t>
  </si>
  <si>
    <t>2.2م × 6.5م</t>
  </si>
  <si>
    <t>5.8م × 9.5م</t>
  </si>
  <si>
    <t>المقاس/الطول</t>
  </si>
  <si>
    <t>ملاحظات</t>
  </si>
  <si>
    <t>ATL-2S-H</t>
  </si>
  <si>
    <t>مثلث الشد الرئيسي</t>
  </si>
  <si>
    <t>80*80 مم (سماكة 2.5 مم)</t>
  </si>
  <si>
    <t>3.2 م</t>
  </si>
  <si>
    <t>مواسير السقف</t>
  </si>
  <si>
    <t>2 بوصة (سماكة 1.5 مم)</t>
  </si>
  <si>
    <t>بزاوية</t>
  </si>
  <si>
    <t>وصلة الشد (110°)</t>
  </si>
  <si>
    <t>2.2 بوصة (سماكة 2.5 مم)</t>
  </si>
  <si>
    <t>قلب وسطي (X)</t>
  </si>
  <si>
    <t>2.2 بوصة (قابل للتعديل)</t>
  </si>
  <si>
    <t>براغي تركيب</t>
  </si>
  <si>
    <t>طول 40 مم</t>
  </si>
  <si>
    <t>أسياخ دق</t>
  </si>
  <si>
    <t>طول 80 مم</t>
  </si>
  <si>
    <t>إكسسوار شد قماش</t>
  </si>
  <si>
    <t>قماش PVC 1100</t>
  </si>
  <si>
    <t>مقاس جاهز</t>
  </si>
  <si>
    <t>3م × 5م</t>
  </si>
  <si>
    <t>ATL-2B-H</t>
  </si>
  <si>
    <t>ATL-2S-C</t>
  </si>
  <si>
    <t>أعمدة أساسية</t>
  </si>
  <si>
    <t>120*120 مم (سماكة 4 مم)</t>
  </si>
  <si>
    <t>2.4 م</t>
  </si>
  <si>
    <t>براغي تركيب العناصر</t>
  </si>
  <si>
    <t>براغي تثبيت على الأعمدة</t>
  </si>
  <si>
    <t>أسياخ دق تثبيت</t>
  </si>
  <si>
    <t>كوري</t>
  </si>
  <si>
    <t>ATL-2B-C</t>
  </si>
  <si>
    <t>فئة المظلات سحاراى (ATL-1 Series)</t>
  </si>
  <si>
    <t>فئة الملكية (ATL-2 Series)</t>
  </si>
  <si>
    <t>الطول</t>
  </si>
  <si>
    <t>ATL-3S-H</t>
  </si>
  <si>
    <t>مثلث أساسي</t>
  </si>
  <si>
    <t>مواسير إطار</t>
  </si>
  <si>
    <t>2.2 م</t>
  </si>
  <si>
    <t>أسياخ شد</t>
  </si>
  <si>
    <t>80 مم</t>
  </si>
  <si>
    <t>صفيحة زينة</t>
  </si>
  <si>
    <t>سماكة 1 مم</t>
  </si>
  <si>
    <t>1.5 م</t>
  </si>
  <si>
    <t>مخصصة</t>
  </si>
  <si>
    <t>3م × 2م</t>
  </si>
  <si>
    <t>ATL-3B-C</t>
  </si>
  <si>
    <t>مواسير أساسية</t>
  </si>
  <si>
    <t>4 م</t>
  </si>
  <si>
    <t>6 م</t>
  </si>
  <si>
    <t>8 بوصة (سماكة 4 مم)</t>
  </si>
  <si>
    <t>2 م</t>
  </si>
  <si>
    <t>دعامات سقف</t>
  </si>
  <si>
    <t>1.5 بوصة (سماكة 2.5 مم)</t>
  </si>
  <si>
    <t>(2x2.2م) + (2x0.6م)</t>
  </si>
  <si>
    <t>4م × 6م</t>
  </si>
  <si>
    <t>ATL-3S-C</t>
  </si>
  <si>
    <t>120 مم</t>
  </si>
  <si>
    <t>ATL-3B-H</t>
  </si>
  <si>
    <t>40 مم</t>
  </si>
  <si>
    <t>3م × 4م</t>
  </si>
  <si>
    <t>حسب الرغبة</t>
  </si>
  <si>
    <t xml:space="preserve">فئة الاحدث (ATL-3 Series) </t>
  </si>
  <si>
    <t>السعر</t>
  </si>
  <si>
    <t>الإجمالي التكلفة الموااد</t>
  </si>
  <si>
    <t>الأقل جودة الضمان سنة</t>
  </si>
  <si>
    <t>الأعلى جودة الضمان 38شهر</t>
  </si>
  <si>
    <t>سعر البيع</t>
  </si>
  <si>
    <t>من 1290 الى 1790ريال</t>
  </si>
  <si>
    <t>من 1999 الى 2599ريال</t>
  </si>
  <si>
    <t xml:space="preserve">1,7 م </t>
  </si>
  <si>
    <t>من 1499 الى 1899ريال</t>
  </si>
  <si>
    <t>من 1999 الى 2399ريال</t>
  </si>
  <si>
    <t>من 2399 الى 2999ريال</t>
  </si>
  <si>
    <t>999ريال</t>
  </si>
  <si>
    <t>من 1299 الى 1699ريال</t>
  </si>
  <si>
    <t xml:space="preserve">من 1299 الى 1699ريال </t>
  </si>
  <si>
    <t>من 1899 الى 2599ريال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</si>
</sst>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1F1F1F"/>
      <name val="Calibri"/>
      <family val="2"/>
      <scheme val="minor"/>
    </font>
    <font>
      <b/>
      <sz val="16"/>
      <color rgb="FF1F1F1F"/>
      <name val="Calibri"/>
      <family val="2"/>
      <scheme val="minor"/>
    </font>
    <font>
      <sz val="14"/>
      <color rgb="FF1F1F1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2" fillId="0" borderId="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4" borderId="12" xfId="0" applyFont="1" applyFill="1" applyBorder="1" applyAlignment="1">
      <alignment horizontal="center" vertical="center" wrapText="1" readingOrder="2"/>
    </xf>
    <xf numFmtId="0" fontId="4" fillId="4" borderId="13" xfId="0" applyFont="1" applyFill="1" applyBorder="1" applyAlignment="1">
      <alignment horizontal="center" vertical="center" wrapText="1" readingOrder="2"/>
    </xf>
    <xf numFmtId="0" fontId="4" fillId="4" borderId="14" xfId="0" applyFont="1" applyFill="1" applyBorder="1" applyAlignment="1">
      <alignment horizontal="center" vertical="center" wrapText="1" readingOrder="2"/>
    </xf>
    <xf numFmtId="0" fontId="2" fillId="4" borderId="15" xfId="0" applyFont="1" applyFill="1" applyBorder="1" applyAlignment="1">
      <alignment horizontal="center" vertical="center" wrapText="1" readingOrder="2"/>
    </xf>
    <xf numFmtId="0" fontId="4" fillId="4" borderId="4" xfId="0" applyFont="1" applyFill="1" applyBorder="1" applyAlignment="1">
      <alignment horizontal="center" vertical="center" wrapText="1" readingOrder="2"/>
    </xf>
    <xf numFmtId="0" fontId="4" fillId="4" borderId="16" xfId="0" applyFont="1" applyFill="1" applyBorder="1" applyAlignment="1">
      <alignment horizontal="center" vertical="center" wrapText="1" readingOrder="2"/>
    </xf>
    <xf numFmtId="0" fontId="2" fillId="4" borderId="17" xfId="0" applyFont="1" applyFill="1" applyBorder="1" applyAlignment="1">
      <alignment horizontal="center" vertical="center" wrapText="1" readingOrder="2"/>
    </xf>
    <xf numFmtId="0" fontId="4" fillId="4" borderId="18" xfId="0" applyFont="1" applyFill="1" applyBorder="1" applyAlignment="1">
      <alignment horizontal="center" vertical="center" wrapText="1" readingOrder="2"/>
    </xf>
    <xf numFmtId="0" fontId="2" fillId="4" borderId="19" xfId="0" applyFont="1" applyFill="1" applyBorder="1" applyAlignment="1">
      <alignment horizontal="center" vertical="center" wrapText="1" readingOrder="2"/>
    </xf>
    <xf numFmtId="0" fontId="2" fillId="5" borderId="12" xfId="0" applyFont="1" applyFill="1" applyBorder="1" applyAlignment="1">
      <alignment horizontal="center" vertical="center" wrapText="1" readingOrder="2"/>
    </xf>
    <xf numFmtId="0" fontId="4" fillId="5" borderId="13" xfId="0" applyFont="1" applyFill="1" applyBorder="1" applyAlignment="1">
      <alignment horizontal="center" vertical="center" wrapText="1" readingOrder="2"/>
    </xf>
    <xf numFmtId="0" fontId="4" fillId="5" borderId="14" xfId="0" applyFont="1" applyFill="1" applyBorder="1" applyAlignment="1">
      <alignment horizontal="center" vertical="center" wrapText="1" readingOrder="2"/>
    </xf>
    <xf numFmtId="0" fontId="2" fillId="5" borderId="15" xfId="0" applyFont="1" applyFill="1" applyBorder="1" applyAlignment="1">
      <alignment horizontal="center" vertical="center" wrapText="1" readingOrder="2"/>
    </xf>
    <xf numFmtId="0" fontId="4" fillId="5" borderId="4" xfId="0" applyFont="1" applyFill="1" applyBorder="1" applyAlignment="1">
      <alignment horizontal="center" vertical="center" wrapText="1" readingOrder="2"/>
    </xf>
    <xf numFmtId="0" fontId="4" fillId="5" borderId="16" xfId="0" applyFont="1" applyFill="1" applyBorder="1" applyAlignment="1">
      <alignment horizontal="center" vertical="center" wrapText="1" readingOrder="2"/>
    </xf>
    <xf numFmtId="0" fontId="2" fillId="5" borderId="17" xfId="0" applyFont="1" applyFill="1" applyBorder="1" applyAlignment="1">
      <alignment horizontal="center" vertical="center" wrapText="1" readingOrder="2"/>
    </xf>
    <xf numFmtId="0" fontId="4" fillId="5" borderId="18" xfId="0" applyFont="1" applyFill="1" applyBorder="1" applyAlignment="1">
      <alignment horizontal="center" vertical="center" wrapText="1" readingOrder="2"/>
    </xf>
    <xf numFmtId="0" fontId="2" fillId="5" borderId="19" xfId="0" applyFont="1" applyFill="1" applyBorder="1" applyAlignment="1">
      <alignment horizontal="center" vertical="center" wrapText="1" readingOrder="2"/>
    </xf>
    <xf numFmtId="0" fontId="2" fillId="6" borderId="12" xfId="0" applyFont="1" applyFill="1" applyBorder="1" applyAlignment="1">
      <alignment horizontal="center" vertical="center" wrapText="1" readingOrder="2"/>
    </xf>
    <xf numFmtId="0" fontId="4" fillId="6" borderId="13" xfId="0" applyFont="1" applyFill="1" applyBorder="1" applyAlignment="1">
      <alignment horizontal="center" vertical="center" wrapText="1" readingOrder="2"/>
    </xf>
    <xf numFmtId="0" fontId="4" fillId="6" borderId="14" xfId="0" applyFont="1" applyFill="1" applyBorder="1" applyAlignment="1">
      <alignment horizontal="center" vertical="center" wrapText="1" readingOrder="2"/>
    </xf>
    <xf numFmtId="0" fontId="2" fillId="6" borderId="15" xfId="0" applyFont="1" applyFill="1" applyBorder="1" applyAlignment="1">
      <alignment horizontal="center" vertical="center" wrapText="1" readingOrder="2"/>
    </xf>
    <xf numFmtId="0" fontId="4" fillId="6" borderId="4" xfId="0" applyFont="1" applyFill="1" applyBorder="1" applyAlignment="1">
      <alignment horizontal="center" vertical="center" wrapText="1" readingOrder="2"/>
    </xf>
    <xf numFmtId="0" fontId="4" fillId="6" borderId="16" xfId="0" applyFont="1" applyFill="1" applyBorder="1" applyAlignment="1">
      <alignment horizontal="center" vertical="center" wrapText="1" readingOrder="2"/>
    </xf>
    <xf numFmtId="0" fontId="2" fillId="6" borderId="16" xfId="0" applyFont="1" applyFill="1" applyBorder="1" applyAlignment="1">
      <alignment horizontal="center" vertical="center" wrapText="1" readingOrder="2"/>
    </xf>
    <xf numFmtId="0" fontId="2" fillId="6" borderId="17" xfId="0" applyFont="1" applyFill="1" applyBorder="1" applyAlignment="1">
      <alignment horizontal="center" vertical="center" wrapText="1" readingOrder="2"/>
    </xf>
    <xf numFmtId="0" fontId="4" fillId="6" borderId="18" xfId="0" applyFont="1" applyFill="1" applyBorder="1" applyAlignment="1">
      <alignment horizontal="center" vertical="center" wrapText="1" readingOrder="2"/>
    </xf>
    <xf numFmtId="0" fontId="4" fillId="6" borderId="19" xfId="0" applyFont="1" applyFill="1" applyBorder="1" applyAlignment="1">
      <alignment horizontal="center" vertical="center" wrapText="1" readingOrder="2"/>
    </xf>
    <xf numFmtId="0" fontId="2" fillId="7" borderId="12" xfId="0" applyFont="1" applyFill="1" applyBorder="1" applyAlignment="1">
      <alignment horizontal="center" vertical="center" wrapText="1" readingOrder="2"/>
    </xf>
    <xf numFmtId="0" fontId="4" fillId="7" borderId="13" xfId="0" applyFont="1" applyFill="1" applyBorder="1" applyAlignment="1">
      <alignment horizontal="center" vertical="center" wrapText="1" readingOrder="2"/>
    </xf>
    <xf numFmtId="0" fontId="4" fillId="7" borderId="14" xfId="0" applyFont="1" applyFill="1" applyBorder="1" applyAlignment="1">
      <alignment horizontal="center" vertical="center" wrapText="1" readingOrder="2"/>
    </xf>
    <xf numFmtId="0" fontId="2" fillId="7" borderId="15" xfId="0" applyFont="1" applyFill="1" applyBorder="1" applyAlignment="1">
      <alignment horizontal="center" vertical="center" wrapText="1" readingOrder="2"/>
    </xf>
    <xf numFmtId="0" fontId="4" fillId="7" borderId="4" xfId="0" applyFont="1" applyFill="1" applyBorder="1" applyAlignment="1">
      <alignment horizontal="center" vertical="center" wrapText="1" readingOrder="2"/>
    </xf>
    <xf numFmtId="0" fontId="4" fillId="7" borderId="16" xfId="0" applyFont="1" applyFill="1" applyBorder="1" applyAlignment="1">
      <alignment horizontal="center" vertical="center" wrapText="1" readingOrder="2"/>
    </xf>
    <xf numFmtId="0" fontId="2" fillId="7" borderId="17" xfId="0" applyFont="1" applyFill="1" applyBorder="1" applyAlignment="1">
      <alignment horizontal="center" vertical="center" wrapText="1" readingOrder="2"/>
    </xf>
    <xf numFmtId="0" fontId="4" fillId="7" borderId="18" xfId="0" applyFont="1" applyFill="1" applyBorder="1" applyAlignment="1">
      <alignment horizontal="center" vertical="center" wrapText="1" readingOrder="2"/>
    </xf>
    <xf numFmtId="0" fontId="4" fillId="7" borderId="19" xfId="0" applyFont="1" applyFill="1" applyBorder="1" applyAlignment="1">
      <alignment horizontal="center" vertical="center" wrapText="1" readingOrder="2"/>
    </xf>
    <xf numFmtId="0" fontId="2" fillId="4" borderId="20" xfId="0" applyFont="1" applyFill="1" applyBorder="1" applyAlignment="1">
      <alignment horizontal="center" vertical="center" wrapText="1" readingOrder="2"/>
    </xf>
    <xf numFmtId="0" fontId="2" fillId="4" borderId="8" xfId="0" applyFont="1" applyFill="1" applyBorder="1" applyAlignment="1">
      <alignment horizontal="center" vertical="center" wrapText="1" readingOrder="2"/>
    </xf>
    <xf numFmtId="0" fontId="2" fillId="4" borderId="21" xfId="0" applyFont="1" applyFill="1" applyBorder="1" applyAlignment="1">
      <alignment horizontal="center" vertical="center" wrapText="1" readingOrder="2"/>
    </xf>
    <xf numFmtId="0" fontId="4" fillId="4" borderId="19" xfId="0" applyFont="1" applyFill="1" applyBorder="1" applyAlignment="1">
      <alignment horizontal="center" vertical="center" wrapText="1" readingOrder="2"/>
    </xf>
    <xf numFmtId="0" fontId="2" fillId="8" borderId="20" xfId="0" applyFont="1" applyFill="1" applyBorder="1" applyAlignment="1">
      <alignment horizontal="center" vertical="center" wrapText="1" readingOrder="2"/>
    </xf>
    <xf numFmtId="0" fontId="4" fillId="8" borderId="13" xfId="0" applyFont="1" applyFill="1" applyBorder="1" applyAlignment="1">
      <alignment horizontal="center" vertical="center" wrapText="1" readingOrder="2"/>
    </xf>
    <xf numFmtId="0" fontId="4" fillId="8" borderId="14" xfId="0" applyFont="1" applyFill="1" applyBorder="1" applyAlignment="1">
      <alignment horizontal="center" vertical="center" wrapText="1" readingOrder="2"/>
    </xf>
    <xf numFmtId="0" fontId="2" fillId="8" borderId="8" xfId="0" applyFont="1" applyFill="1" applyBorder="1" applyAlignment="1">
      <alignment horizontal="center" vertical="center" wrapText="1" readingOrder="2"/>
    </xf>
    <xf numFmtId="0" fontId="4" fillId="8" borderId="4" xfId="0" applyFont="1" applyFill="1" applyBorder="1" applyAlignment="1">
      <alignment horizontal="center" vertical="center" wrapText="1" readingOrder="2"/>
    </xf>
    <xf numFmtId="0" fontId="4" fillId="8" borderId="16" xfId="0" applyFont="1" applyFill="1" applyBorder="1" applyAlignment="1">
      <alignment horizontal="center" vertical="center" wrapText="1" readingOrder="2"/>
    </xf>
    <xf numFmtId="0" fontId="2" fillId="8" borderId="21" xfId="0" applyFont="1" applyFill="1" applyBorder="1" applyAlignment="1">
      <alignment horizontal="center" vertical="center" wrapText="1" readingOrder="2"/>
    </xf>
    <xf numFmtId="0" fontId="4" fillId="8" borderId="18" xfId="0" applyFont="1" applyFill="1" applyBorder="1" applyAlignment="1">
      <alignment horizontal="center" vertical="center" wrapText="1" readingOrder="2"/>
    </xf>
    <xf numFmtId="0" fontId="4" fillId="8" borderId="19" xfId="0" applyFont="1" applyFill="1" applyBorder="1" applyAlignment="1">
      <alignment horizontal="center" vertical="center" wrapText="1" readingOrder="2"/>
    </xf>
    <xf numFmtId="0" fontId="2" fillId="9" borderId="20" xfId="0" applyFont="1" applyFill="1" applyBorder="1" applyAlignment="1">
      <alignment horizontal="center" vertical="center" wrapText="1" readingOrder="2"/>
    </xf>
    <xf numFmtId="0" fontId="4" fillId="9" borderId="13" xfId="0" applyFont="1" applyFill="1" applyBorder="1" applyAlignment="1">
      <alignment horizontal="center" vertical="center" wrapText="1" readingOrder="2"/>
    </xf>
    <xf numFmtId="0" fontId="4" fillId="9" borderId="14" xfId="0" applyFont="1" applyFill="1" applyBorder="1" applyAlignment="1">
      <alignment horizontal="center" vertical="center" wrapText="1" readingOrder="2"/>
    </xf>
    <xf numFmtId="0" fontId="2" fillId="9" borderId="8" xfId="0" applyFont="1" applyFill="1" applyBorder="1" applyAlignment="1">
      <alignment horizontal="center" vertical="center" wrapText="1" readingOrder="2"/>
    </xf>
    <xf numFmtId="0" fontId="4" fillId="9" borderId="4" xfId="0" applyFont="1" applyFill="1" applyBorder="1" applyAlignment="1">
      <alignment horizontal="center" vertical="center" wrapText="1" readingOrder="2"/>
    </xf>
    <xf numFmtId="0" fontId="4" fillId="9" borderId="16" xfId="0" applyFont="1" applyFill="1" applyBorder="1" applyAlignment="1">
      <alignment horizontal="center" vertical="center" wrapText="1" readingOrder="2"/>
    </xf>
    <xf numFmtId="0" fontId="3" fillId="9" borderId="11" xfId="0" applyFont="1" applyFill="1" applyBorder="1" applyAlignment="1">
      <alignment horizontal="center" vertical="center" textRotation="90" wrapText="1" readingOrder="2"/>
    </xf>
    <xf numFmtId="0" fontId="2" fillId="9" borderId="21" xfId="0" applyFont="1" applyFill="1" applyBorder="1" applyAlignment="1">
      <alignment horizontal="center" vertical="center" wrapText="1" readingOrder="2"/>
    </xf>
    <xf numFmtId="0" fontId="4" fillId="9" borderId="18" xfId="0" applyFont="1" applyFill="1" applyBorder="1" applyAlignment="1">
      <alignment horizontal="center" vertical="center" wrapText="1" readingOrder="2"/>
    </xf>
    <xf numFmtId="0" fontId="4" fillId="9" borderId="19" xfId="0" applyFont="1" applyFill="1" applyBorder="1" applyAlignment="1">
      <alignment horizontal="center" vertical="center" wrapText="1" readingOrder="2"/>
    </xf>
    <xf numFmtId="0" fontId="2" fillId="10" borderId="20" xfId="0" applyFont="1" applyFill="1" applyBorder="1" applyAlignment="1">
      <alignment horizontal="center" vertical="center" wrapText="1" readingOrder="2"/>
    </xf>
    <xf numFmtId="0" fontId="4" fillId="10" borderId="13" xfId="0" applyFont="1" applyFill="1" applyBorder="1" applyAlignment="1">
      <alignment horizontal="center" vertical="center" wrapText="1" readingOrder="2"/>
    </xf>
    <xf numFmtId="0" fontId="4" fillId="10" borderId="14" xfId="0" applyFont="1" applyFill="1" applyBorder="1" applyAlignment="1">
      <alignment horizontal="center" vertical="center" wrapText="1" readingOrder="2"/>
    </xf>
    <xf numFmtId="0" fontId="3" fillId="10" borderId="10" xfId="0" applyFont="1" applyFill="1" applyBorder="1" applyAlignment="1">
      <alignment horizontal="center" vertical="center" textRotation="90" wrapText="1" readingOrder="2"/>
    </xf>
    <xf numFmtId="0" fontId="2" fillId="10" borderId="8" xfId="0" applyFont="1" applyFill="1" applyBorder="1" applyAlignment="1">
      <alignment horizontal="center" vertical="center" wrapText="1" readingOrder="2"/>
    </xf>
    <xf numFmtId="0" fontId="4" fillId="10" borderId="4" xfId="0" applyFont="1" applyFill="1" applyBorder="1" applyAlignment="1">
      <alignment horizontal="center" vertical="center" wrapText="1" readingOrder="2"/>
    </xf>
    <xf numFmtId="0" fontId="4" fillId="10" borderId="16" xfId="0" applyFont="1" applyFill="1" applyBorder="1" applyAlignment="1">
      <alignment horizontal="center" vertical="center" wrapText="1" readingOrder="2"/>
    </xf>
    <xf numFmtId="0" fontId="3" fillId="10" borderId="11" xfId="0" applyFont="1" applyFill="1" applyBorder="1" applyAlignment="1">
      <alignment horizontal="center" vertical="center" textRotation="90" wrapText="1" readingOrder="2"/>
    </xf>
    <xf numFmtId="0" fontId="2" fillId="10" borderId="21" xfId="0" applyFont="1" applyFill="1" applyBorder="1" applyAlignment="1">
      <alignment horizontal="center" vertical="center" wrapText="1" readingOrder="2"/>
    </xf>
    <xf numFmtId="0" fontId="4" fillId="10" borderId="18" xfId="0" applyFont="1" applyFill="1" applyBorder="1" applyAlignment="1">
      <alignment horizontal="center" vertical="center" wrapText="1" readingOrder="2"/>
    </xf>
    <xf numFmtId="0" fontId="4" fillId="10" borderId="19" xfId="0" applyFont="1" applyFill="1" applyBorder="1" applyAlignment="1">
      <alignment horizontal="center" vertical="center" wrapText="1" readingOrder="2"/>
    </xf>
    <xf numFmtId="0" fontId="4" fillId="3" borderId="4" xfId="0" applyFont="1" applyFill="1" applyBorder="1" applyAlignment="1">
      <alignment horizontal="center" vertical="center" wrapText="1" readingOrder="2"/>
    </xf>
    <xf numFmtId="0" fontId="4" fillId="2" borderId="4" xfId="0" applyFont="1" applyFill="1" applyBorder="1" applyAlignment="1">
      <alignment horizontal="center" vertical="center" wrapText="1" readingOrder="2"/>
    </xf>
    <xf numFmtId="0" fontId="2" fillId="3" borderId="12" xfId="0" applyFont="1" applyFill="1" applyBorder="1" applyAlignment="1">
      <alignment horizontal="center" vertical="center" wrapText="1" readingOrder="2"/>
    </xf>
    <xf numFmtId="0" fontId="4" fillId="3" borderId="13" xfId="0" applyFont="1" applyFill="1" applyBorder="1" applyAlignment="1">
      <alignment horizontal="center" vertical="center" wrapText="1" readingOrder="2"/>
    </xf>
    <xf numFmtId="0" fontId="4" fillId="3" borderId="14" xfId="0" applyFont="1" applyFill="1" applyBorder="1" applyAlignment="1">
      <alignment horizontal="center" vertical="center" wrapText="1" readingOrder="2"/>
    </xf>
    <xf numFmtId="0" fontId="2" fillId="3" borderId="15" xfId="0" applyFont="1" applyFill="1" applyBorder="1" applyAlignment="1">
      <alignment horizontal="center" vertical="center" wrapText="1" readingOrder="2"/>
    </xf>
    <xf numFmtId="0" fontId="4" fillId="3" borderId="16" xfId="0" applyFont="1" applyFill="1" applyBorder="1" applyAlignment="1">
      <alignment horizontal="center" vertical="center" wrapText="1" readingOrder="2"/>
    </xf>
    <xf numFmtId="0" fontId="2" fillId="3" borderId="17" xfId="0" applyFont="1" applyFill="1" applyBorder="1" applyAlignment="1">
      <alignment horizontal="center" vertical="center" wrapText="1" readingOrder="2"/>
    </xf>
    <xf numFmtId="0" fontId="4" fillId="3" borderId="18" xfId="0" applyFont="1" applyFill="1" applyBorder="1" applyAlignment="1">
      <alignment horizontal="center" vertical="center" wrapText="1" readingOrder="2"/>
    </xf>
    <xf numFmtId="0" fontId="2" fillId="3" borderId="19" xfId="0" applyFont="1" applyFill="1" applyBorder="1" applyAlignment="1">
      <alignment horizontal="center" vertical="center" wrapText="1" readingOrder="2"/>
    </xf>
    <xf numFmtId="0" fontId="2" fillId="2" borderId="12" xfId="0" applyFont="1" applyFill="1" applyBorder="1" applyAlignment="1">
      <alignment horizontal="center" vertical="center" wrapText="1" readingOrder="2"/>
    </xf>
    <xf numFmtId="0" fontId="4" fillId="2" borderId="13" xfId="0" applyFont="1" applyFill="1" applyBorder="1" applyAlignment="1">
      <alignment horizontal="center" vertical="center" wrapText="1" readingOrder="2"/>
    </xf>
    <xf numFmtId="0" fontId="4" fillId="2" borderId="14" xfId="0" applyFont="1" applyFill="1" applyBorder="1" applyAlignment="1">
      <alignment horizontal="center" vertical="center" wrapText="1" readingOrder="2"/>
    </xf>
    <xf numFmtId="0" fontId="2" fillId="2" borderId="15" xfId="0" applyFont="1" applyFill="1" applyBorder="1" applyAlignment="1">
      <alignment horizontal="center" vertical="center" wrapText="1" readingOrder="2"/>
    </xf>
    <xf numFmtId="0" fontId="4" fillId="2" borderId="16" xfId="0" applyFont="1" applyFill="1" applyBorder="1" applyAlignment="1">
      <alignment horizontal="center" vertical="center" wrapText="1" readingOrder="2"/>
    </xf>
    <xf numFmtId="0" fontId="2" fillId="2" borderId="17" xfId="0" applyFont="1" applyFill="1" applyBorder="1" applyAlignment="1">
      <alignment horizontal="center" vertical="center" wrapText="1" readingOrder="2"/>
    </xf>
    <xf numFmtId="0" fontId="4" fillId="2" borderId="18" xfId="0" applyFont="1" applyFill="1" applyBorder="1" applyAlignment="1">
      <alignment horizontal="center" vertical="center" wrapText="1" readingOrder="2"/>
    </xf>
    <xf numFmtId="0" fontId="2" fillId="2" borderId="19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4" fillId="3" borderId="22" xfId="0" applyFont="1" applyFill="1" applyBorder="1" applyAlignment="1">
      <alignment horizontal="center" vertical="center" wrapText="1" readingOrder="2"/>
    </xf>
    <xf numFmtId="0" fontId="4" fillId="3" borderId="23" xfId="0" applyFont="1" applyFill="1" applyBorder="1" applyAlignment="1">
      <alignment horizontal="center" vertical="center" wrapText="1" readingOrder="2"/>
    </xf>
    <xf numFmtId="0" fontId="4" fillId="3" borderId="24" xfId="0" applyFont="1" applyFill="1" applyBorder="1" applyAlignment="1">
      <alignment horizontal="center" vertical="center" wrapText="1" readingOrder="2"/>
    </xf>
    <xf numFmtId="0" fontId="4" fillId="2" borderId="22" xfId="0" applyFont="1" applyFill="1" applyBorder="1" applyAlignment="1">
      <alignment horizontal="center" vertical="center" wrapText="1" readingOrder="2"/>
    </xf>
    <xf numFmtId="0" fontId="4" fillId="2" borderId="23" xfId="0" applyFont="1" applyFill="1" applyBorder="1" applyAlignment="1">
      <alignment horizontal="center" vertical="center" wrapText="1" readingOrder="2"/>
    </xf>
    <xf numFmtId="0" fontId="4" fillId="2" borderId="24" xfId="0" applyFont="1" applyFill="1" applyBorder="1" applyAlignment="1">
      <alignment horizontal="center" vertical="center" wrapText="1" readingOrder="2"/>
    </xf>
    <xf numFmtId="0" fontId="4" fillId="4" borderId="22" xfId="0" applyFont="1" applyFill="1" applyBorder="1" applyAlignment="1">
      <alignment horizontal="center" vertical="center" wrapText="1" readingOrder="2"/>
    </xf>
    <xf numFmtId="0" fontId="4" fillId="4" borderId="23" xfId="0" applyFont="1" applyFill="1" applyBorder="1" applyAlignment="1">
      <alignment horizontal="center" vertical="center" wrapText="1" readingOrder="2"/>
    </xf>
    <xf numFmtId="0" fontId="4" fillId="4" borderId="24" xfId="0" applyFont="1" applyFill="1" applyBorder="1" applyAlignment="1">
      <alignment horizontal="center" vertical="center" wrapText="1" readingOrder="2"/>
    </xf>
    <xf numFmtId="0" fontId="4" fillId="5" borderId="22" xfId="0" applyFont="1" applyFill="1" applyBorder="1" applyAlignment="1">
      <alignment horizontal="center" vertical="center" wrapText="1" readingOrder="2"/>
    </xf>
    <xf numFmtId="0" fontId="4" fillId="5" borderId="23" xfId="0" applyFont="1" applyFill="1" applyBorder="1" applyAlignment="1">
      <alignment horizontal="center" vertical="center" wrapText="1" readingOrder="2"/>
    </xf>
    <xf numFmtId="0" fontId="4" fillId="5" borderId="24" xfId="0" applyFont="1" applyFill="1" applyBorder="1" applyAlignment="1">
      <alignment horizontal="center" vertical="center" wrapText="1" readingOrder="2"/>
    </xf>
    <xf numFmtId="0" fontId="4" fillId="6" borderId="22" xfId="0" applyFont="1" applyFill="1" applyBorder="1" applyAlignment="1">
      <alignment horizontal="center" vertical="center" wrapText="1" readingOrder="2"/>
    </xf>
    <xf numFmtId="0" fontId="4" fillId="6" borderId="23" xfId="0" applyFont="1" applyFill="1" applyBorder="1" applyAlignment="1">
      <alignment horizontal="center" vertical="center" wrapText="1" readingOrder="2"/>
    </xf>
    <xf numFmtId="0" fontId="4" fillId="6" borderId="24" xfId="0" applyFont="1" applyFill="1" applyBorder="1" applyAlignment="1">
      <alignment horizontal="center" vertical="center" wrapText="1" readingOrder="2"/>
    </xf>
    <xf numFmtId="0" fontId="4" fillId="7" borderId="22" xfId="0" applyFont="1" applyFill="1" applyBorder="1" applyAlignment="1">
      <alignment horizontal="center" vertical="center" wrapText="1" readingOrder="2"/>
    </xf>
    <xf numFmtId="0" fontId="4" fillId="7" borderId="23" xfId="0" applyFont="1" applyFill="1" applyBorder="1" applyAlignment="1">
      <alignment horizontal="center" vertical="center" wrapText="1" readingOrder="2"/>
    </xf>
    <xf numFmtId="0" fontId="4" fillId="7" borderId="24" xfId="0" applyFont="1" applyFill="1" applyBorder="1" applyAlignment="1">
      <alignment horizontal="center" vertical="center" wrapText="1" readingOrder="2"/>
    </xf>
    <xf numFmtId="0" fontId="4" fillId="8" borderId="22" xfId="0" applyFont="1" applyFill="1" applyBorder="1" applyAlignment="1">
      <alignment horizontal="center" vertical="center" wrapText="1" readingOrder="2"/>
    </xf>
    <xf numFmtId="0" fontId="4" fillId="8" borderId="23" xfId="0" applyFont="1" applyFill="1" applyBorder="1" applyAlignment="1">
      <alignment horizontal="center" vertical="center" wrapText="1" readingOrder="2"/>
    </xf>
    <xf numFmtId="0" fontId="4" fillId="8" borderId="24" xfId="0" applyFont="1" applyFill="1" applyBorder="1" applyAlignment="1">
      <alignment horizontal="center" vertical="center" wrapText="1" readingOrder="2"/>
    </xf>
    <xf numFmtId="0" fontId="4" fillId="9" borderId="22" xfId="0" applyFont="1" applyFill="1" applyBorder="1" applyAlignment="1">
      <alignment horizontal="center" vertical="center" wrapText="1" readingOrder="2"/>
    </xf>
    <xf numFmtId="0" fontId="4" fillId="9" borderId="23" xfId="0" applyFont="1" applyFill="1" applyBorder="1" applyAlignment="1">
      <alignment horizontal="center" vertical="center" wrapText="1" readingOrder="2"/>
    </xf>
    <xf numFmtId="0" fontId="4" fillId="9" borderId="24" xfId="0" applyFont="1" applyFill="1" applyBorder="1" applyAlignment="1">
      <alignment horizontal="center" vertical="center" wrapText="1" readingOrder="2"/>
    </xf>
    <xf numFmtId="0" fontId="4" fillId="10" borderId="22" xfId="0" applyFont="1" applyFill="1" applyBorder="1" applyAlignment="1">
      <alignment horizontal="center" vertical="center" wrapText="1" readingOrder="2"/>
    </xf>
    <xf numFmtId="0" fontId="4" fillId="10" borderId="23" xfId="0" applyFont="1" applyFill="1" applyBorder="1" applyAlignment="1">
      <alignment horizontal="center" vertical="center" wrapText="1" readingOrder="2"/>
    </xf>
    <xf numFmtId="0" fontId="4" fillId="10" borderId="24" xfId="0" applyFont="1" applyFill="1" applyBorder="1" applyAlignment="1">
      <alignment horizontal="center" vertical="center" wrapText="1" readingOrder="2"/>
    </xf>
    <xf numFmtId="0" fontId="9" fillId="11" borderId="4" xfId="0" applyFont="1" applyFill="1" applyBorder="1" applyAlignment="1">
      <alignment horizontal="center" vertical="center"/>
    </xf>
    <xf numFmtId="0" fontId="9" fillId="11" borderId="25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12" borderId="28" xfId="0" applyFont="1" applyFill="1" applyBorder="1" applyAlignment="1">
      <alignment horizontal="center" vertical="center"/>
    </xf>
    <xf numFmtId="0" fontId="7" fillId="11" borderId="25" xfId="0" applyFont="1" applyFill="1" applyBorder="1" applyAlignment="1">
      <alignment horizontal="center" vertical="center"/>
    </xf>
    <xf numFmtId="0" fontId="8" fillId="12" borderId="28" xfId="0" applyFont="1" applyFill="1" applyBorder="1" applyAlignment="1">
      <alignment horizontal="center" vertical="center"/>
    </xf>
    <xf numFmtId="0" fontId="7" fillId="12" borderId="28" xfId="0" applyFont="1" applyFill="1" applyBorder="1"/>
    <xf numFmtId="0" fontId="7" fillId="11" borderId="29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/>
    </xf>
    <xf numFmtId="0" fontId="9" fillId="11" borderId="25" xfId="0" applyFont="1" applyFill="1" applyBorder="1" applyAlignment="1">
      <alignment horizontal="center"/>
    </xf>
    <xf numFmtId="0" fontId="5" fillId="12" borderId="26" xfId="0" applyFont="1" applyFill="1" applyBorder="1" applyAlignment="1">
      <alignment horizontal="center"/>
    </xf>
    <xf numFmtId="0" fontId="5" fillId="12" borderId="27" xfId="0" applyFont="1" applyFill="1" applyBorder="1" applyAlignment="1">
      <alignment horizontal="center"/>
    </xf>
    <xf numFmtId="0" fontId="7" fillId="11" borderId="4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textRotation="90" wrapText="1" readingOrder="2"/>
    </xf>
    <xf numFmtId="0" fontId="3" fillId="2" borderId="6" xfId="0" applyFont="1" applyFill="1" applyBorder="1" applyAlignment="1">
      <alignment horizontal="center" vertical="center" textRotation="90" wrapText="1" readingOrder="2"/>
    </xf>
    <xf numFmtId="0" fontId="3" fillId="2" borderId="7" xfId="0" applyFont="1" applyFill="1" applyBorder="1" applyAlignment="1">
      <alignment horizontal="center" vertical="center" textRotation="90" wrapText="1" readingOrder="2"/>
    </xf>
    <xf numFmtId="0" fontId="3" fillId="5" borderId="9" xfId="0" applyFont="1" applyFill="1" applyBorder="1" applyAlignment="1">
      <alignment horizontal="center" vertical="center" textRotation="90" wrapText="1" readingOrder="2"/>
    </xf>
    <xf numFmtId="0" fontId="3" fillId="5" borderId="10" xfId="0" applyFont="1" applyFill="1" applyBorder="1" applyAlignment="1">
      <alignment horizontal="center" vertical="center" textRotation="90" wrapText="1" readingOrder="2"/>
    </xf>
    <xf numFmtId="0" fontId="3" fillId="5" borderId="11" xfId="0" applyFont="1" applyFill="1" applyBorder="1" applyAlignment="1">
      <alignment horizontal="center" vertical="center" textRotation="90" wrapText="1" readingOrder="2"/>
    </xf>
    <xf numFmtId="0" fontId="3" fillId="9" borderId="9" xfId="0" applyFont="1" applyFill="1" applyBorder="1" applyAlignment="1">
      <alignment horizontal="center" vertical="center" textRotation="90" wrapText="1" readingOrder="2"/>
    </xf>
    <xf numFmtId="0" fontId="3" fillId="9" borderId="10" xfId="0" applyFont="1" applyFill="1" applyBorder="1" applyAlignment="1">
      <alignment horizontal="center" vertical="center" textRotation="90" wrapText="1" readingOrder="2"/>
    </xf>
    <xf numFmtId="0" fontId="3" fillId="8" borderId="9" xfId="0" applyFont="1" applyFill="1" applyBorder="1" applyAlignment="1">
      <alignment horizontal="center" vertical="center" textRotation="90" wrapText="1" readingOrder="2"/>
    </xf>
    <xf numFmtId="0" fontId="3" fillId="8" borderId="10" xfId="0" applyFont="1" applyFill="1" applyBorder="1" applyAlignment="1">
      <alignment horizontal="center" vertical="center" textRotation="90" wrapText="1" readingOrder="2"/>
    </xf>
    <xf numFmtId="0" fontId="3" fillId="8" borderId="11" xfId="0" applyFont="1" applyFill="1" applyBorder="1" applyAlignment="1">
      <alignment horizontal="center" vertical="center" textRotation="90" wrapText="1" readingOrder="2"/>
    </xf>
    <xf numFmtId="0" fontId="7" fillId="11" borderId="29" xfId="0" applyFont="1" applyFill="1" applyBorder="1" applyAlignment="1">
      <alignment horizontal="center"/>
    </xf>
    <xf numFmtId="0" fontId="6" fillId="11" borderId="29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textRotation="90" wrapText="1" readingOrder="2"/>
    </xf>
    <xf numFmtId="0" fontId="3" fillId="3" borderId="6" xfId="0" applyFont="1" applyFill="1" applyBorder="1" applyAlignment="1">
      <alignment horizontal="center" vertical="center" textRotation="90" wrapText="1" readingOrder="2"/>
    </xf>
    <xf numFmtId="0" fontId="3" fillId="3" borderId="7" xfId="0" applyFont="1" applyFill="1" applyBorder="1" applyAlignment="1">
      <alignment horizontal="center" vertical="center" textRotation="90" wrapText="1" readingOrder="2"/>
    </xf>
    <xf numFmtId="0" fontId="3" fillId="4" borderId="9" xfId="0" applyFont="1" applyFill="1" applyBorder="1" applyAlignment="1">
      <alignment horizontal="center" vertical="center" textRotation="90" wrapText="1" readingOrder="2"/>
    </xf>
    <xf numFmtId="0" fontId="3" fillId="4" borderId="10" xfId="0" applyFont="1" applyFill="1" applyBorder="1" applyAlignment="1">
      <alignment horizontal="center" vertical="center" textRotation="90" wrapText="1" readingOrder="2"/>
    </xf>
    <xf numFmtId="0" fontId="3" fillId="4" borderId="11" xfId="0" applyFont="1" applyFill="1" applyBorder="1" applyAlignment="1">
      <alignment horizontal="center" vertical="center" textRotation="90" wrapText="1" readingOrder="2"/>
    </xf>
    <xf numFmtId="0" fontId="3" fillId="6" borderId="9" xfId="0" applyFont="1" applyFill="1" applyBorder="1" applyAlignment="1">
      <alignment horizontal="center" vertical="center" textRotation="90" wrapText="1" readingOrder="2"/>
    </xf>
    <xf numFmtId="0" fontId="3" fillId="6" borderId="10" xfId="0" applyFont="1" applyFill="1" applyBorder="1" applyAlignment="1">
      <alignment horizontal="center" vertical="center" textRotation="90" wrapText="1" readingOrder="2"/>
    </xf>
    <xf numFmtId="0" fontId="3" fillId="10" borderId="9" xfId="0" applyFont="1" applyFill="1" applyBorder="1" applyAlignment="1">
      <alignment horizontal="center" vertical="center" textRotation="90" wrapText="1" readingOrder="2"/>
    </xf>
    <xf numFmtId="0" fontId="3" fillId="10" borderId="10" xfId="0" applyFont="1" applyFill="1" applyBorder="1" applyAlignment="1">
      <alignment horizontal="center" vertical="center" textRotation="90" wrapText="1" readingOrder="2"/>
    </xf>
    <xf numFmtId="0" fontId="3" fillId="6" borderId="11" xfId="0" applyFont="1" applyFill="1" applyBorder="1" applyAlignment="1">
      <alignment horizontal="center" vertical="center" textRotation="90" wrapText="1" readingOrder="2"/>
    </xf>
    <xf numFmtId="0" fontId="3" fillId="7" borderId="9" xfId="0" applyFont="1" applyFill="1" applyBorder="1" applyAlignment="1">
      <alignment horizontal="center" vertical="center" textRotation="90" wrapText="1" readingOrder="2"/>
    </xf>
    <xf numFmtId="0" fontId="3" fillId="7" borderId="10" xfId="0" applyFont="1" applyFill="1" applyBorder="1" applyAlignment="1">
      <alignment horizontal="center" vertical="center" textRotation="90" wrapText="1" readingOrder="2"/>
    </xf>
    <xf numFmtId="0" fontId="3" fillId="7" borderId="11" xfId="0" applyFont="1" applyFill="1" applyBorder="1" applyAlignment="1">
      <alignment horizontal="center" vertical="center" textRotation="90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2A25-2F66-4A95-B7AC-8138D6210C01}">
  <sheetPr>
    <pageSetUpPr fitToPage="1"/>
  </sheetPr>
  <dimension ref="A1:W61"/>
  <sheetViews>
    <sheetView tabSelected="1" topLeftCell="D42" zoomScale="75" zoomScaleNormal="37" zoomScaleSheetLayoutView="40" workbookViewId="0">
      <selection activeCell="Q37" sqref="Q37:W48"/>
    </sheetView>
  </sheetViews>
  <sheetFormatPr defaultRowHeight="14.4" x14ac:dyDescent="0.3"/>
  <cols>
    <col min="1" max="1" width="9.109375" customWidth="1"/>
    <col min="2" max="2" width="20.109375" customWidth="1"/>
    <col min="3" max="3" width="31.88671875" customWidth="1"/>
    <col min="5" max="5" width="16.33203125" customWidth="1"/>
    <col min="6" max="6" width="22.6640625" customWidth="1"/>
    <col min="7" max="8" width="13.33203125" customWidth="1"/>
    <col min="10" max="10" width="27.33203125" customWidth="1"/>
    <col min="11" max="11" width="28.109375" customWidth="1"/>
    <col min="13" max="13" width="15.109375" customWidth="1"/>
    <col min="14" max="14" width="22.88671875" customWidth="1"/>
    <col min="15" max="15" width="13" customWidth="1"/>
    <col min="16" max="16" width="12.44140625" customWidth="1"/>
    <col min="17" max="17" width="12.21875" customWidth="1"/>
    <col min="18" max="18" width="17.21875" customWidth="1"/>
    <col min="19" max="19" width="26.44140625" customWidth="1"/>
    <col min="21" max="21" width="21.5546875" customWidth="1"/>
    <col min="22" max="22" width="32" customWidth="1"/>
    <col min="23" max="23" width="13.109375" customWidth="1"/>
  </cols>
  <sheetData>
    <row r="1" spans="1:23" ht="24" thickBot="1" x14ac:dyDescent="0.5">
      <c r="A1" s="147" t="s">
        <v>62</v>
      </c>
      <c r="B1" s="148"/>
      <c r="C1" s="148"/>
      <c r="D1" s="148"/>
      <c r="E1" s="148"/>
      <c r="F1" s="148"/>
      <c r="G1" s="148"/>
      <c r="H1" s="92"/>
      <c r="I1" s="147" t="s">
        <v>63</v>
      </c>
      <c r="J1" s="148"/>
      <c r="K1" s="148"/>
      <c r="L1" s="148"/>
      <c r="M1" s="148"/>
      <c r="N1" s="148"/>
      <c r="O1" s="148"/>
      <c r="Q1" s="149" t="s">
        <v>92</v>
      </c>
      <c r="R1" s="149"/>
      <c r="S1" s="149"/>
      <c r="T1" s="149"/>
      <c r="U1" s="149"/>
      <c r="V1" s="149"/>
      <c r="W1" s="149"/>
    </row>
    <row r="2" spans="1:23" ht="18.60000000000000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93</v>
      </c>
      <c r="G2" s="2" t="s">
        <v>5</v>
      </c>
      <c r="I2" s="2" t="s">
        <v>0</v>
      </c>
      <c r="J2" s="2" t="s">
        <v>1</v>
      </c>
      <c r="K2" s="2" t="s">
        <v>2</v>
      </c>
      <c r="L2" s="2" t="s">
        <v>3</v>
      </c>
      <c r="M2" s="2" t="s">
        <v>31</v>
      </c>
      <c r="N2" s="2" t="s">
        <v>93</v>
      </c>
      <c r="O2" s="2" t="s">
        <v>32</v>
      </c>
      <c r="Q2" s="2" t="s">
        <v>0</v>
      </c>
      <c r="R2" s="2" t="s">
        <v>1</v>
      </c>
      <c r="S2" s="2" t="s">
        <v>2</v>
      </c>
      <c r="T2" s="2" t="s">
        <v>3</v>
      </c>
      <c r="U2" s="2" t="s">
        <v>64</v>
      </c>
      <c r="V2" s="2" t="s">
        <v>93</v>
      </c>
      <c r="W2" s="2" t="s">
        <v>32</v>
      </c>
    </row>
    <row r="3" spans="1:23" ht="17.399999999999999" customHeight="1" x14ac:dyDescent="0.3">
      <c r="A3" s="150" t="s">
        <v>6</v>
      </c>
      <c r="B3" s="76" t="s">
        <v>7</v>
      </c>
      <c r="C3" s="77" t="s">
        <v>8</v>
      </c>
      <c r="D3" s="77">
        <v>2</v>
      </c>
      <c r="E3" s="77" t="s">
        <v>9</v>
      </c>
      <c r="F3" s="93">
        <v>130</v>
      </c>
      <c r="G3" s="78"/>
      <c r="I3" s="153" t="s">
        <v>33</v>
      </c>
      <c r="J3" s="3" t="s">
        <v>34</v>
      </c>
      <c r="K3" s="4" t="s">
        <v>35</v>
      </c>
      <c r="L3" s="4">
        <v>2</v>
      </c>
      <c r="M3" s="4" t="s">
        <v>36</v>
      </c>
      <c r="N3" s="99">
        <v>350</v>
      </c>
      <c r="O3" s="5"/>
      <c r="Q3" s="153" t="s">
        <v>65</v>
      </c>
      <c r="R3" s="40" t="s">
        <v>66</v>
      </c>
      <c r="S3" s="4" t="s">
        <v>13</v>
      </c>
      <c r="T3" s="4">
        <v>2</v>
      </c>
      <c r="U3" s="4" t="s">
        <v>36</v>
      </c>
      <c r="V3" s="99">
        <v>180</v>
      </c>
      <c r="W3" s="5"/>
    </row>
    <row r="4" spans="1:23" ht="18" x14ac:dyDescent="0.3">
      <c r="A4" s="151"/>
      <c r="B4" s="79" t="s">
        <v>10</v>
      </c>
      <c r="C4" s="74" t="s">
        <v>11</v>
      </c>
      <c r="D4" s="74">
        <v>3</v>
      </c>
      <c r="E4" s="74" t="s">
        <v>9</v>
      </c>
      <c r="F4" s="94">
        <v>128</v>
      </c>
      <c r="G4" s="80"/>
      <c r="I4" s="154"/>
      <c r="J4" s="6" t="s">
        <v>37</v>
      </c>
      <c r="K4" s="7" t="s">
        <v>38</v>
      </c>
      <c r="L4" s="7">
        <v>4</v>
      </c>
      <c r="M4" s="7" t="s">
        <v>100</v>
      </c>
      <c r="N4" s="100">
        <v>61</v>
      </c>
      <c r="O4" s="8" t="s">
        <v>39</v>
      </c>
      <c r="Q4" s="154"/>
      <c r="R4" s="41" t="s">
        <v>67</v>
      </c>
      <c r="S4" s="7" t="s">
        <v>13</v>
      </c>
      <c r="T4" s="7">
        <v>3</v>
      </c>
      <c r="U4" s="7" t="s">
        <v>68</v>
      </c>
      <c r="V4" s="100">
        <v>160</v>
      </c>
      <c r="W4" s="8"/>
    </row>
    <row r="5" spans="1:23" ht="18" x14ac:dyDescent="0.3">
      <c r="A5" s="151"/>
      <c r="B5" s="79" t="s">
        <v>12</v>
      </c>
      <c r="C5" s="74" t="s">
        <v>13</v>
      </c>
      <c r="D5" s="74">
        <v>3</v>
      </c>
      <c r="E5" s="74" t="s">
        <v>14</v>
      </c>
      <c r="F5" s="94">
        <v>370</v>
      </c>
      <c r="G5" s="80"/>
      <c r="I5" s="154"/>
      <c r="J5" s="6" t="s">
        <v>40</v>
      </c>
      <c r="K5" s="7" t="s">
        <v>41</v>
      </c>
      <c r="L5" s="7">
        <v>4</v>
      </c>
      <c r="M5" s="7" t="s">
        <v>17</v>
      </c>
      <c r="N5" s="100">
        <v>100</v>
      </c>
      <c r="O5" s="8"/>
      <c r="Q5" s="154"/>
      <c r="R5" s="41" t="s">
        <v>69</v>
      </c>
      <c r="S5" s="7" t="s">
        <v>17</v>
      </c>
      <c r="T5" s="7">
        <v>16</v>
      </c>
      <c r="U5" s="7" t="s">
        <v>70</v>
      </c>
      <c r="V5" s="100">
        <v>50</v>
      </c>
      <c r="W5" s="8"/>
    </row>
    <row r="6" spans="1:23" ht="31.8" customHeight="1" x14ac:dyDescent="0.3">
      <c r="A6" s="151"/>
      <c r="B6" s="79" t="s">
        <v>15</v>
      </c>
      <c r="C6" s="74" t="s">
        <v>16</v>
      </c>
      <c r="D6" s="74">
        <v>9</v>
      </c>
      <c r="E6" s="74" t="s">
        <v>17</v>
      </c>
      <c r="F6" s="94">
        <v>40</v>
      </c>
      <c r="G6" s="80"/>
      <c r="I6" s="154"/>
      <c r="J6" s="6" t="s">
        <v>42</v>
      </c>
      <c r="K6" s="7" t="s">
        <v>43</v>
      </c>
      <c r="L6" s="7">
        <v>1</v>
      </c>
      <c r="M6" s="7" t="s">
        <v>17</v>
      </c>
      <c r="N6" s="100">
        <v>35</v>
      </c>
      <c r="O6" s="8"/>
      <c r="Q6" s="154"/>
      <c r="R6" s="41" t="s">
        <v>71</v>
      </c>
      <c r="S6" s="7" t="s">
        <v>72</v>
      </c>
      <c r="T6" s="7">
        <v>2</v>
      </c>
      <c r="U6" s="7" t="s">
        <v>73</v>
      </c>
      <c r="V6" s="100">
        <v>160</v>
      </c>
      <c r="W6" s="8" t="s">
        <v>74</v>
      </c>
    </row>
    <row r="7" spans="1:23" ht="18.600000000000001" thickBot="1" x14ac:dyDescent="0.35">
      <c r="A7" s="151"/>
      <c r="B7" s="79" t="s">
        <v>18</v>
      </c>
      <c r="C7" s="74" t="s">
        <v>19</v>
      </c>
      <c r="D7" s="74">
        <v>18</v>
      </c>
      <c r="E7" s="74" t="s">
        <v>17</v>
      </c>
      <c r="F7" s="94">
        <v>54</v>
      </c>
      <c r="G7" s="80"/>
      <c r="I7" s="154"/>
      <c r="J7" s="6" t="s">
        <v>44</v>
      </c>
      <c r="K7" s="7" t="s">
        <v>45</v>
      </c>
      <c r="L7" s="7">
        <v>20</v>
      </c>
      <c r="M7" s="7" t="s">
        <v>17</v>
      </c>
      <c r="N7" s="100">
        <v>50</v>
      </c>
      <c r="O7" s="8"/>
      <c r="Q7" s="155"/>
      <c r="R7" s="42" t="s">
        <v>49</v>
      </c>
      <c r="S7" s="10" t="s">
        <v>60</v>
      </c>
      <c r="T7" s="10">
        <v>1</v>
      </c>
      <c r="U7" s="10" t="s">
        <v>75</v>
      </c>
      <c r="V7" s="101">
        <v>120</v>
      </c>
      <c r="W7" s="43"/>
    </row>
    <row r="8" spans="1:23" ht="21" x14ac:dyDescent="0.4">
      <c r="A8" s="151"/>
      <c r="B8" s="79" t="s">
        <v>20</v>
      </c>
      <c r="C8" s="74" t="s">
        <v>21</v>
      </c>
      <c r="D8" s="74">
        <v>8</v>
      </c>
      <c r="E8" s="74" t="s">
        <v>17</v>
      </c>
      <c r="F8" s="94">
        <v>50</v>
      </c>
      <c r="G8" s="80"/>
      <c r="I8" s="154"/>
      <c r="J8" s="6" t="s">
        <v>46</v>
      </c>
      <c r="K8" s="7" t="s">
        <v>47</v>
      </c>
      <c r="L8" s="7">
        <v>12</v>
      </c>
      <c r="M8" s="7" t="s">
        <v>17</v>
      </c>
      <c r="N8" s="100">
        <v>30</v>
      </c>
      <c r="O8" s="8"/>
      <c r="R8" s="132" t="s">
        <v>94</v>
      </c>
      <c r="S8" s="133"/>
      <c r="T8" s="133"/>
      <c r="U8" s="133"/>
      <c r="V8" s="122">
        <f>SUM(V3:V7)</f>
        <v>670</v>
      </c>
    </row>
    <row r="9" spans="1:23" ht="18" x14ac:dyDescent="0.35">
      <c r="A9" s="151"/>
      <c r="B9" s="79" t="s">
        <v>22</v>
      </c>
      <c r="C9" s="74" t="s">
        <v>23</v>
      </c>
      <c r="D9" s="74">
        <v>1</v>
      </c>
      <c r="E9" s="74" t="s">
        <v>24</v>
      </c>
      <c r="F9" s="94">
        <v>754</v>
      </c>
      <c r="G9" s="80"/>
      <c r="I9" s="154"/>
      <c r="J9" s="6" t="s">
        <v>48</v>
      </c>
      <c r="K9" s="7" t="s">
        <v>17</v>
      </c>
      <c r="L9" s="7">
        <v>4</v>
      </c>
      <c r="M9" s="7" t="s">
        <v>17</v>
      </c>
      <c r="N9" s="100">
        <v>50</v>
      </c>
      <c r="O9" s="8"/>
      <c r="R9" s="128" t="s">
        <v>95</v>
      </c>
      <c r="S9" s="128"/>
      <c r="T9" s="128"/>
      <c r="U9" s="128"/>
      <c r="V9" s="120">
        <f>V8*0.7</f>
        <v>468.99999999999994</v>
      </c>
    </row>
    <row r="10" spans="1:23" ht="18.600000000000001" thickBot="1" x14ac:dyDescent="0.4">
      <c r="A10" s="152"/>
      <c r="B10" s="81" t="s">
        <v>25</v>
      </c>
      <c r="C10" s="82" t="s">
        <v>26</v>
      </c>
      <c r="D10" s="82">
        <v>1</v>
      </c>
      <c r="E10" s="82" t="s">
        <v>14</v>
      </c>
      <c r="F10" s="95">
        <v>154</v>
      </c>
      <c r="G10" s="83" t="s">
        <v>27</v>
      </c>
      <c r="I10" s="155"/>
      <c r="J10" s="9" t="s">
        <v>49</v>
      </c>
      <c r="K10" s="10" t="s">
        <v>50</v>
      </c>
      <c r="L10" s="10">
        <v>1</v>
      </c>
      <c r="M10" s="10" t="s">
        <v>51</v>
      </c>
      <c r="N10" s="101">
        <v>300</v>
      </c>
      <c r="O10" s="11"/>
      <c r="R10" s="129" t="s">
        <v>96</v>
      </c>
      <c r="S10" s="129"/>
      <c r="T10" s="129"/>
      <c r="U10" s="129"/>
      <c r="V10" s="121">
        <f>V8</f>
        <v>670</v>
      </c>
    </row>
    <row r="11" spans="1:23" ht="21.6" thickBot="1" x14ac:dyDescent="0.45">
      <c r="B11" s="145" t="s">
        <v>94</v>
      </c>
      <c r="C11" s="146"/>
      <c r="D11" s="146"/>
      <c r="E11" s="146"/>
      <c r="F11" s="127">
        <f>SUM(F3:F10)</f>
        <v>1680</v>
      </c>
      <c r="J11" s="132" t="s">
        <v>94</v>
      </c>
      <c r="K11" s="133"/>
      <c r="L11" s="133"/>
      <c r="M11" s="133"/>
      <c r="N11" s="122">
        <f>SUM(N3:N10)</f>
        <v>976</v>
      </c>
      <c r="R11" s="130" t="s">
        <v>97</v>
      </c>
      <c r="S11" s="131"/>
      <c r="T11" s="131"/>
      <c r="U11" s="131"/>
      <c r="V11" s="123" t="s">
        <v>104</v>
      </c>
    </row>
    <row r="12" spans="1:23" ht="21" x14ac:dyDescent="0.35">
      <c r="B12" s="128" t="s">
        <v>95</v>
      </c>
      <c r="C12" s="128"/>
      <c r="D12" s="128"/>
      <c r="E12" s="128"/>
      <c r="F12" s="122">
        <f>F11*0.6</f>
        <v>1008</v>
      </c>
      <c r="J12" s="128" t="s">
        <v>95</v>
      </c>
      <c r="K12" s="128"/>
      <c r="L12" s="128"/>
      <c r="M12" s="128"/>
      <c r="N12" s="120">
        <f>N11*0.7</f>
        <v>683.19999999999993</v>
      </c>
    </row>
    <row r="13" spans="1:23" ht="21.6" thickBot="1" x14ac:dyDescent="0.4">
      <c r="B13" s="129" t="s">
        <v>96</v>
      </c>
      <c r="C13" s="129"/>
      <c r="D13" s="129"/>
      <c r="E13" s="129"/>
      <c r="F13" s="124">
        <f>F11</f>
        <v>1680</v>
      </c>
      <c r="J13" s="129" t="s">
        <v>96</v>
      </c>
      <c r="K13" s="129"/>
      <c r="L13" s="129"/>
      <c r="M13" s="129"/>
      <c r="N13" s="121">
        <f>N11</f>
        <v>976</v>
      </c>
    </row>
    <row r="14" spans="1:23" ht="21.6" thickBot="1" x14ac:dyDescent="0.45">
      <c r="B14" s="130" t="s">
        <v>97</v>
      </c>
      <c r="C14" s="131"/>
      <c r="D14" s="131"/>
      <c r="E14" s="131"/>
      <c r="F14" s="125" t="s">
        <v>98</v>
      </c>
      <c r="J14" s="130" t="s">
        <v>97</v>
      </c>
      <c r="K14" s="131"/>
      <c r="L14" s="131"/>
      <c r="M14" s="131"/>
      <c r="N14" s="125" t="s">
        <v>101</v>
      </c>
      <c r="Q14" s="2" t="s">
        <v>0</v>
      </c>
      <c r="R14" s="2" t="s">
        <v>1</v>
      </c>
      <c r="S14" s="2" t="s">
        <v>2</v>
      </c>
      <c r="T14" s="2" t="s">
        <v>3</v>
      </c>
      <c r="U14" s="2" t="s">
        <v>31</v>
      </c>
      <c r="V14" s="2" t="s">
        <v>93</v>
      </c>
      <c r="W14" s="2" t="s">
        <v>32</v>
      </c>
    </row>
    <row r="15" spans="1:23" ht="18.600000000000001" thickBot="1" x14ac:dyDescent="0.35">
      <c r="Q15" s="142" t="s">
        <v>88</v>
      </c>
      <c r="R15" s="44" t="s">
        <v>66</v>
      </c>
      <c r="S15" s="45" t="s">
        <v>13</v>
      </c>
      <c r="T15" s="45">
        <v>3</v>
      </c>
      <c r="U15" s="45" t="s">
        <v>36</v>
      </c>
      <c r="V15" s="111">
        <v>270</v>
      </c>
      <c r="W15" s="46"/>
    </row>
    <row r="16" spans="1:23" ht="18.600000000000001" thickBot="1" x14ac:dyDescent="0.35">
      <c r="I16" s="2" t="s">
        <v>0</v>
      </c>
      <c r="J16" s="2" t="s">
        <v>1</v>
      </c>
      <c r="K16" s="2" t="s">
        <v>2</v>
      </c>
      <c r="L16" s="2" t="s">
        <v>3</v>
      </c>
      <c r="M16" s="2" t="s">
        <v>31</v>
      </c>
      <c r="N16" s="2" t="s">
        <v>93</v>
      </c>
      <c r="O16" s="2" t="s">
        <v>32</v>
      </c>
      <c r="Q16" s="143"/>
      <c r="R16" s="47" t="s">
        <v>67</v>
      </c>
      <c r="S16" s="48" t="s">
        <v>13</v>
      </c>
      <c r="T16" s="48">
        <v>6</v>
      </c>
      <c r="U16" s="48" t="s">
        <v>68</v>
      </c>
      <c r="V16" s="112">
        <v>320</v>
      </c>
      <c r="W16" s="49"/>
    </row>
    <row r="17" spans="1:23" ht="18.600000000000001" thickBot="1" x14ac:dyDescent="0.35">
      <c r="I17" s="137" t="s">
        <v>52</v>
      </c>
      <c r="J17" s="12" t="s">
        <v>34</v>
      </c>
      <c r="K17" s="13" t="s">
        <v>35</v>
      </c>
      <c r="L17" s="13">
        <v>3</v>
      </c>
      <c r="M17" s="13" t="s">
        <v>36</v>
      </c>
      <c r="N17" s="102">
        <v>425</v>
      </c>
      <c r="O17" s="14"/>
      <c r="Q17" s="143"/>
      <c r="R17" s="47" t="s">
        <v>69</v>
      </c>
      <c r="S17" s="48" t="s">
        <v>17</v>
      </c>
      <c r="T17" s="48">
        <v>32</v>
      </c>
      <c r="U17" s="48" t="s">
        <v>89</v>
      </c>
      <c r="V17" s="112">
        <v>100</v>
      </c>
      <c r="W17" s="49"/>
    </row>
    <row r="18" spans="1:23" ht="21" customHeight="1" thickBot="1" x14ac:dyDescent="0.35">
      <c r="A18" s="1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93</v>
      </c>
      <c r="G18" s="2" t="s">
        <v>5</v>
      </c>
      <c r="I18" s="138"/>
      <c r="J18" s="15" t="s">
        <v>37</v>
      </c>
      <c r="K18" s="16" t="s">
        <v>38</v>
      </c>
      <c r="L18" s="16">
        <v>8</v>
      </c>
      <c r="M18" s="16" t="s">
        <v>100</v>
      </c>
      <c r="N18" s="103">
        <v>150</v>
      </c>
      <c r="O18" s="17"/>
      <c r="Q18" s="143"/>
      <c r="R18" s="47" t="s">
        <v>71</v>
      </c>
      <c r="S18" s="48" t="s">
        <v>72</v>
      </c>
      <c r="T18" s="48">
        <v>2</v>
      </c>
      <c r="U18" s="48" t="s">
        <v>73</v>
      </c>
      <c r="V18" s="112">
        <v>160</v>
      </c>
      <c r="W18" s="49" t="s">
        <v>74</v>
      </c>
    </row>
    <row r="19" spans="1:23" ht="15" customHeight="1" thickBot="1" x14ac:dyDescent="0.35">
      <c r="A19" s="134" t="s">
        <v>28</v>
      </c>
      <c r="B19" s="84" t="s">
        <v>7</v>
      </c>
      <c r="C19" s="85" t="s">
        <v>8</v>
      </c>
      <c r="D19" s="85">
        <v>2</v>
      </c>
      <c r="E19" s="85" t="s">
        <v>9</v>
      </c>
      <c r="F19" s="96">
        <v>130</v>
      </c>
      <c r="G19" s="86"/>
      <c r="I19" s="138"/>
      <c r="J19" s="15" t="s">
        <v>40</v>
      </c>
      <c r="K19" s="16" t="s">
        <v>41</v>
      </c>
      <c r="L19" s="16">
        <v>8</v>
      </c>
      <c r="M19" s="16" t="s">
        <v>17</v>
      </c>
      <c r="N19" s="103">
        <v>225</v>
      </c>
      <c r="O19" s="17"/>
      <c r="Q19" s="144"/>
      <c r="R19" s="50" t="s">
        <v>49</v>
      </c>
      <c r="S19" s="51" t="s">
        <v>60</v>
      </c>
      <c r="T19" s="51">
        <v>1</v>
      </c>
      <c r="U19" s="51" t="s">
        <v>90</v>
      </c>
      <c r="V19" s="113">
        <v>240</v>
      </c>
      <c r="W19" s="52"/>
    </row>
    <row r="20" spans="1:23" ht="21" x14ac:dyDescent="0.4">
      <c r="A20" s="135"/>
      <c r="B20" s="87" t="s">
        <v>10</v>
      </c>
      <c r="C20" s="75" t="s">
        <v>11</v>
      </c>
      <c r="D20" s="75">
        <v>4</v>
      </c>
      <c r="E20" s="75" t="s">
        <v>9</v>
      </c>
      <c r="F20" s="97">
        <v>170</v>
      </c>
      <c r="G20" s="88"/>
      <c r="I20" s="138"/>
      <c r="J20" s="15" t="s">
        <v>42</v>
      </c>
      <c r="K20" s="16" t="s">
        <v>43</v>
      </c>
      <c r="L20" s="16">
        <v>2</v>
      </c>
      <c r="M20" s="16" t="s">
        <v>17</v>
      </c>
      <c r="N20" s="103">
        <v>80</v>
      </c>
      <c r="O20" s="17"/>
      <c r="R20" s="132" t="s">
        <v>94</v>
      </c>
      <c r="S20" s="133"/>
      <c r="T20" s="133"/>
      <c r="U20" s="133"/>
      <c r="V20" s="122">
        <f>SUM(V15:V19)</f>
        <v>1090</v>
      </c>
    </row>
    <row r="21" spans="1:23" ht="18" x14ac:dyDescent="0.35">
      <c r="A21" s="135"/>
      <c r="B21" s="87" t="s">
        <v>12</v>
      </c>
      <c r="C21" s="75" t="s">
        <v>13</v>
      </c>
      <c r="D21" s="75">
        <v>3</v>
      </c>
      <c r="E21" s="75" t="s">
        <v>29</v>
      </c>
      <c r="F21" s="97">
        <v>460</v>
      </c>
      <c r="G21" s="88"/>
      <c r="I21" s="138"/>
      <c r="J21" s="15" t="s">
        <v>44</v>
      </c>
      <c r="K21" s="16" t="s">
        <v>45</v>
      </c>
      <c r="L21" s="16">
        <v>30</v>
      </c>
      <c r="M21" s="16" t="s">
        <v>17</v>
      </c>
      <c r="N21" s="103">
        <v>75</v>
      </c>
      <c r="O21" s="17"/>
      <c r="R21" s="128" t="s">
        <v>95</v>
      </c>
      <c r="S21" s="128"/>
      <c r="T21" s="128"/>
      <c r="U21" s="128"/>
      <c r="V21" s="120">
        <f>V20*0.7</f>
        <v>763</v>
      </c>
    </row>
    <row r="22" spans="1:23" ht="18.600000000000001" thickBot="1" x14ac:dyDescent="0.4">
      <c r="A22" s="135"/>
      <c r="B22" s="87" t="s">
        <v>15</v>
      </c>
      <c r="C22" s="75" t="s">
        <v>16</v>
      </c>
      <c r="D22" s="75">
        <v>12</v>
      </c>
      <c r="E22" s="75" t="s">
        <v>17</v>
      </c>
      <c r="F22" s="97">
        <v>40</v>
      </c>
      <c r="G22" s="88"/>
      <c r="I22" s="138"/>
      <c r="J22" s="15" t="s">
        <v>46</v>
      </c>
      <c r="K22" s="16" t="s">
        <v>47</v>
      </c>
      <c r="L22" s="16">
        <v>18</v>
      </c>
      <c r="M22" s="16" t="s">
        <v>17</v>
      </c>
      <c r="N22" s="103">
        <v>60</v>
      </c>
      <c r="O22" s="17"/>
      <c r="R22" s="129" t="s">
        <v>96</v>
      </c>
      <c r="S22" s="129"/>
      <c r="T22" s="129"/>
      <c r="U22" s="129"/>
      <c r="V22" s="121">
        <f>V20</f>
        <v>1090</v>
      </c>
    </row>
    <row r="23" spans="1:23" ht="21.6" thickBot="1" x14ac:dyDescent="0.45">
      <c r="A23" s="135"/>
      <c r="B23" s="87" t="s">
        <v>18</v>
      </c>
      <c r="C23" s="75" t="s">
        <v>19</v>
      </c>
      <c r="D23" s="75">
        <v>24</v>
      </c>
      <c r="E23" s="75" t="s">
        <v>17</v>
      </c>
      <c r="F23" s="97">
        <v>30</v>
      </c>
      <c r="G23" s="88"/>
      <c r="I23" s="138"/>
      <c r="J23" s="15" t="s">
        <v>48</v>
      </c>
      <c r="K23" s="16" t="s">
        <v>17</v>
      </c>
      <c r="L23" s="16">
        <v>8</v>
      </c>
      <c r="M23" s="16" t="s">
        <v>17</v>
      </c>
      <c r="N23" s="103">
        <v>100</v>
      </c>
      <c r="O23" s="17"/>
      <c r="R23" s="130" t="s">
        <v>97</v>
      </c>
      <c r="S23" s="131"/>
      <c r="T23" s="131"/>
      <c r="U23" s="131"/>
      <c r="V23" s="126" t="s">
        <v>105</v>
      </c>
    </row>
    <row r="24" spans="1:23" ht="18.600000000000001" thickBot="1" x14ac:dyDescent="0.35">
      <c r="A24" s="135"/>
      <c r="B24" s="87" t="s">
        <v>20</v>
      </c>
      <c r="C24" s="75" t="s">
        <v>21</v>
      </c>
      <c r="D24" s="75">
        <v>10</v>
      </c>
      <c r="E24" s="75" t="s">
        <v>17</v>
      </c>
      <c r="F24" s="97">
        <v>20</v>
      </c>
      <c r="G24" s="88"/>
      <c r="I24" s="139"/>
      <c r="J24" s="18" t="s">
        <v>49</v>
      </c>
      <c r="K24" s="19" t="s">
        <v>50</v>
      </c>
      <c r="L24" s="19">
        <v>2</v>
      </c>
      <c r="M24" s="19" t="s">
        <v>51</v>
      </c>
      <c r="N24" s="104">
        <v>600</v>
      </c>
      <c r="O24" s="20"/>
    </row>
    <row r="25" spans="1:23" ht="21.6" thickBot="1" x14ac:dyDescent="0.45">
      <c r="A25" s="135"/>
      <c r="B25" s="87" t="s">
        <v>22</v>
      </c>
      <c r="C25" s="75" t="s">
        <v>23</v>
      </c>
      <c r="D25" s="75">
        <v>1</v>
      </c>
      <c r="E25" s="75" t="s">
        <v>30</v>
      </c>
      <c r="F25" s="97">
        <v>1100</v>
      </c>
      <c r="G25" s="88"/>
      <c r="J25" s="132" t="s">
        <v>94</v>
      </c>
      <c r="K25" s="133"/>
      <c r="L25" s="133"/>
      <c r="M25" s="133"/>
      <c r="N25" s="122">
        <f>SUM(N17:N24)</f>
        <v>1715</v>
      </c>
      <c r="Q25" s="2" t="s">
        <v>0</v>
      </c>
      <c r="R25" s="2" t="s">
        <v>1</v>
      </c>
      <c r="S25" s="2" t="s">
        <v>2</v>
      </c>
      <c r="T25" s="2" t="s">
        <v>3</v>
      </c>
      <c r="U25" s="2" t="s">
        <v>31</v>
      </c>
      <c r="V25" s="2" t="s">
        <v>93</v>
      </c>
      <c r="W25" s="2" t="s">
        <v>32</v>
      </c>
    </row>
    <row r="26" spans="1:23" ht="18.600000000000001" thickBot="1" x14ac:dyDescent="0.4">
      <c r="A26" s="136"/>
      <c r="B26" s="89" t="s">
        <v>25</v>
      </c>
      <c r="C26" s="90" t="s">
        <v>26</v>
      </c>
      <c r="D26" s="90">
        <v>1</v>
      </c>
      <c r="E26" s="90" t="s">
        <v>29</v>
      </c>
      <c r="F26" s="98">
        <v>286</v>
      </c>
      <c r="G26" s="91" t="s">
        <v>27</v>
      </c>
      <c r="J26" s="128" t="s">
        <v>95</v>
      </c>
      <c r="K26" s="128"/>
      <c r="L26" s="128"/>
      <c r="M26" s="128"/>
      <c r="N26" s="120">
        <f>N25*0.7</f>
        <v>1200.5</v>
      </c>
      <c r="Q26" s="140" t="s">
        <v>86</v>
      </c>
      <c r="R26" s="53" t="s">
        <v>77</v>
      </c>
      <c r="S26" s="54" t="s">
        <v>13</v>
      </c>
      <c r="T26" s="54">
        <v>2</v>
      </c>
      <c r="U26" s="54" t="s">
        <v>36</v>
      </c>
      <c r="V26" s="114">
        <v>180</v>
      </c>
      <c r="W26" s="55"/>
    </row>
    <row r="27" spans="1:23" ht="21.6" thickBot="1" x14ac:dyDescent="0.45">
      <c r="B27" s="132" t="s">
        <v>94</v>
      </c>
      <c r="C27" s="133"/>
      <c r="D27" s="133"/>
      <c r="E27" s="133"/>
      <c r="F27" s="122">
        <f>SUM(F19:F26)</f>
        <v>2236</v>
      </c>
      <c r="J27" s="129" t="s">
        <v>96</v>
      </c>
      <c r="K27" s="129"/>
      <c r="L27" s="129"/>
      <c r="M27" s="129"/>
      <c r="N27" s="121">
        <f>N25</f>
        <v>1715</v>
      </c>
      <c r="Q27" s="141"/>
      <c r="R27" s="56" t="s">
        <v>67</v>
      </c>
      <c r="S27" s="57" t="s">
        <v>13</v>
      </c>
      <c r="T27" s="57">
        <v>3</v>
      </c>
      <c r="U27" s="57" t="s">
        <v>68</v>
      </c>
      <c r="V27" s="115">
        <v>160</v>
      </c>
      <c r="W27" s="58"/>
    </row>
    <row r="28" spans="1:23" ht="21.6" thickBot="1" x14ac:dyDescent="0.45">
      <c r="B28" s="128" t="s">
        <v>95</v>
      </c>
      <c r="C28" s="128"/>
      <c r="D28" s="128"/>
      <c r="E28" s="128"/>
      <c r="F28" s="120">
        <f>F27*0.7</f>
        <v>1565.1999999999998</v>
      </c>
      <c r="J28" s="130" t="s">
        <v>97</v>
      </c>
      <c r="K28" s="131"/>
      <c r="L28" s="131"/>
      <c r="M28" s="131"/>
      <c r="N28" s="125" t="s">
        <v>99</v>
      </c>
      <c r="Q28" s="141"/>
      <c r="R28" s="56" t="s">
        <v>54</v>
      </c>
      <c r="S28" s="57" t="s">
        <v>80</v>
      </c>
      <c r="T28" s="57">
        <v>2</v>
      </c>
      <c r="U28" s="57" t="s">
        <v>81</v>
      </c>
      <c r="V28" s="115">
        <v>300</v>
      </c>
      <c r="W28" s="58"/>
    </row>
    <row r="29" spans="1:23" ht="18.600000000000001" thickBot="1" x14ac:dyDescent="0.4">
      <c r="B29" s="129" t="s">
        <v>96</v>
      </c>
      <c r="C29" s="129"/>
      <c r="D29" s="129"/>
      <c r="E29" s="129"/>
      <c r="F29" s="121">
        <f>F27</f>
        <v>2236</v>
      </c>
      <c r="Q29" s="141"/>
      <c r="R29" s="56" t="s">
        <v>69</v>
      </c>
      <c r="S29" s="57" t="s">
        <v>17</v>
      </c>
      <c r="T29" s="57">
        <v>8</v>
      </c>
      <c r="U29" s="57" t="s">
        <v>87</v>
      </c>
      <c r="V29" s="115">
        <v>40</v>
      </c>
      <c r="W29" s="58"/>
    </row>
    <row r="30" spans="1:23" ht="21.6" thickBot="1" x14ac:dyDescent="0.45">
      <c r="B30" s="130" t="s">
        <v>97</v>
      </c>
      <c r="C30" s="131"/>
      <c r="D30" s="131"/>
      <c r="E30" s="131"/>
      <c r="F30" s="125" t="s">
        <v>99</v>
      </c>
      <c r="I30" s="2" t="s">
        <v>0</v>
      </c>
      <c r="J30" s="2" t="s">
        <v>1</v>
      </c>
      <c r="K30" s="2" t="s">
        <v>2</v>
      </c>
      <c r="L30" s="2" t="s">
        <v>3</v>
      </c>
      <c r="M30" s="2" t="s">
        <v>31</v>
      </c>
      <c r="N30" s="2" t="s">
        <v>93</v>
      </c>
      <c r="O30" s="2" t="s">
        <v>32</v>
      </c>
      <c r="Q30" s="141"/>
      <c r="R30" s="56" t="s">
        <v>71</v>
      </c>
      <c r="S30" s="57" t="s">
        <v>72</v>
      </c>
      <c r="T30" s="57">
        <v>2</v>
      </c>
      <c r="U30" s="57" t="s">
        <v>73</v>
      </c>
      <c r="V30" s="115">
        <v>160</v>
      </c>
      <c r="W30" s="58" t="s">
        <v>74</v>
      </c>
    </row>
    <row r="31" spans="1:23" ht="18.600000000000001" thickBot="1" x14ac:dyDescent="0.35">
      <c r="I31" s="156" t="s">
        <v>53</v>
      </c>
      <c r="J31" s="21" t="s">
        <v>34</v>
      </c>
      <c r="K31" s="22" t="s">
        <v>35</v>
      </c>
      <c r="L31" s="22">
        <v>2</v>
      </c>
      <c r="M31" s="22" t="s">
        <v>36</v>
      </c>
      <c r="N31" s="105">
        <v>350</v>
      </c>
      <c r="O31" s="23"/>
      <c r="Q31" s="59"/>
      <c r="R31" s="60" t="s">
        <v>49</v>
      </c>
      <c r="S31" s="61" t="s">
        <v>60</v>
      </c>
      <c r="T31" s="61">
        <v>1</v>
      </c>
      <c r="U31" s="61" t="s">
        <v>51</v>
      </c>
      <c r="V31" s="116">
        <v>300</v>
      </c>
      <c r="W31" s="62"/>
    </row>
    <row r="32" spans="1:23" ht="21" x14ac:dyDescent="0.4">
      <c r="I32" s="157"/>
      <c r="J32" s="24" t="s">
        <v>37</v>
      </c>
      <c r="K32" s="25" t="s">
        <v>38</v>
      </c>
      <c r="L32" s="25">
        <v>4</v>
      </c>
      <c r="M32" s="25" t="s">
        <v>100</v>
      </c>
      <c r="N32" s="106">
        <v>60</v>
      </c>
      <c r="O32" s="26"/>
      <c r="R32" s="132" t="s">
        <v>94</v>
      </c>
      <c r="S32" s="133"/>
      <c r="T32" s="133"/>
      <c r="U32" s="133"/>
      <c r="V32" s="122">
        <f>SUM(V26:V31)</f>
        <v>1140</v>
      </c>
    </row>
    <row r="33" spans="9:23" ht="18" x14ac:dyDescent="0.35">
      <c r="I33" s="157"/>
      <c r="J33" s="24" t="s">
        <v>40</v>
      </c>
      <c r="K33" s="25" t="s">
        <v>41</v>
      </c>
      <c r="L33" s="25">
        <v>4</v>
      </c>
      <c r="M33" s="25" t="s">
        <v>17</v>
      </c>
      <c r="N33" s="106">
        <v>100</v>
      </c>
      <c r="O33" s="26"/>
      <c r="R33" s="128" t="s">
        <v>95</v>
      </c>
      <c r="S33" s="128"/>
      <c r="T33" s="128"/>
      <c r="U33" s="128"/>
      <c r="V33" s="120">
        <f>V32*0.7</f>
        <v>798</v>
      </c>
    </row>
    <row r="34" spans="9:23" ht="18.600000000000001" thickBot="1" x14ac:dyDescent="0.4">
      <c r="I34" s="157"/>
      <c r="J34" s="24" t="s">
        <v>42</v>
      </c>
      <c r="K34" s="25" t="s">
        <v>43</v>
      </c>
      <c r="L34" s="25">
        <v>1</v>
      </c>
      <c r="M34" s="25" t="s">
        <v>17</v>
      </c>
      <c r="N34" s="106">
        <v>35</v>
      </c>
      <c r="O34" s="26"/>
      <c r="R34" s="129" t="s">
        <v>96</v>
      </c>
      <c r="S34" s="129"/>
      <c r="T34" s="129"/>
      <c r="U34" s="129"/>
      <c r="V34" s="121">
        <f>V32</f>
        <v>1140</v>
      </c>
    </row>
    <row r="35" spans="9:23" ht="21.6" thickBot="1" x14ac:dyDescent="0.45">
      <c r="I35" s="157"/>
      <c r="J35" s="24" t="s">
        <v>54</v>
      </c>
      <c r="K35" s="25" t="s">
        <v>55</v>
      </c>
      <c r="L35" s="25">
        <v>2</v>
      </c>
      <c r="M35" s="25" t="s">
        <v>56</v>
      </c>
      <c r="N35" s="106">
        <v>349</v>
      </c>
      <c r="O35" s="26"/>
      <c r="R35" s="130" t="s">
        <v>97</v>
      </c>
      <c r="S35" s="131"/>
      <c r="T35" s="131"/>
      <c r="U35" s="131"/>
      <c r="V35" s="123" t="s">
        <v>106</v>
      </c>
    </row>
    <row r="36" spans="9:23" ht="18.600000000000001" thickBot="1" x14ac:dyDescent="0.35">
      <c r="I36" s="157"/>
      <c r="J36" s="24" t="s">
        <v>57</v>
      </c>
      <c r="K36" s="25" t="s">
        <v>45</v>
      </c>
      <c r="L36" s="25">
        <v>20</v>
      </c>
      <c r="M36" s="25" t="s">
        <v>17</v>
      </c>
      <c r="N36" s="106">
        <v>30</v>
      </c>
      <c r="O36" s="26"/>
    </row>
    <row r="37" spans="9:23" ht="18.600000000000001" thickBot="1" x14ac:dyDescent="0.35">
      <c r="I37" s="157"/>
      <c r="J37" s="24" t="s">
        <v>58</v>
      </c>
      <c r="K37" s="25" t="s">
        <v>47</v>
      </c>
      <c r="L37" s="25">
        <v>12</v>
      </c>
      <c r="M37" s="25" t="s">
        <v>17</v>
      </c>
      <c r="N37" s="106">
        <v>30</v>
      </c>
      <c r="O37" s="26"/>
      <c r="Q37" s="2" t="s">
        <v>0</v>
      </c>
      <c r="R37" s="2" t="s">
        <v>1</v>
      </c>
      <c r="S37" s="2" t="s">
        <v>2</v>
      </c>
      <c r="T37" s="2" t="s">
        <v>3</v>
      </c>
      <c r="U37" s="2" t="s">
        <v>31</v>
      </c>
      <c r="V37" s="2" t="s">
        <v>93</v>
      </c>
      <c r="W37" s="2" t="s">
        <v>32</v>
      </c>
    </row>
    <row r="38" spans="9:23" ht="18" x14ac:dyDescent="0.3">
      <c r="I38" s="157"/>
      <c r="J38" s="24" t="s">
        <v>59</v>
      </c>
      <c r="K38" s="25" t="s">
        <v>47</v>
      </c>
      <c r="L38" s="25">
        <v>8</v>
      </c>
      <c r="M38" s="25" t="s">
        <v>17</v>
      </c>
      <c r="N38" s="106">
        <v>50</v>
      </c>
      <c r="O38" s="27"/>
      <c r="Q38" s="158" t="s">
        <v>76</v>
      </c>
      <c r="R38" s="63" t="s">
        <v>77</v>
      </c>
      <c r="S38" s="64" t="s">
        <v>13</v>
      </c>
      <c r="T38" s="64">
        <v>3</v>
      </c>
      <c r="U38" s="64" t="s">
        <v>78</v>
      </c>
      <c r="V38" s="117">
        <v>240</v>
      </c>
      <c r="W38" s="65"/>
    </row>
    <row r="39" spans="9:23" ht="18" x14ac:dyDescent="0.3">
      <c r="I39" s="157"/>
      <c r="J39" s="24" t="s">
        <v>48</v>
      </c>
      <c r="K39" s="25" t="s">
        <v>17</v>
      </c>
      <c r="L39" s="25">
        <v>4</v>
      </c>
      <c r="M39" s="25" t="s">
        <v>17</v>
      </c>
      <c r="N39" s="106">
        <v>50</v>
      </c>
      <c r="O39" s="26"/>
      <c r="Q39" s="159"/>
      <c r="R39" s="67" t="s">
        <v>67</v>
      </c>
      <c r="S39" s="68" t="s">
        <v>13</v>
      </c>
      <c r="T39" s="68">
        <v>6</v>
      </c>
      <c r="U39" s="68" t="s">
        <v>79</v>
      </c>
      <c r="V39" s="118">
        <v>320</v>
      </c>
      <c r="W39" s="69"/>
    </row>
    <row r="40" spans="9:23" ht="18.600000000000001" thickBot="1" x14ac:dyDescent="0.35">
      <c r="I40" s="160"/>
      <c r="J40" s="28" t="s">
        <v>49</v>
      </c>
      <c r="K40" s="29" t="s">
        <v>60</v>
      </c>
      <c r="L40" s="29">
        <v>1</v>
      </c>
      <c r="M40" s="29" t="s">
        <v>51</v>
      </c>
      <c r="N40" s="107">
        <v>300</v>
      </c>
      <c r="O40" s="30"/>
      <c r="Q40" s="159"/>
      <c r="R40" s="67" t="s">
        <v>54</v>
      </c>
      <c r="S40" s="68" t="s">
        <v>80</v>
      </c>
      <c r="T40" s="68">
        <v>3</v>
      </c>
      <c r="U40" s="68" t="s">
        <v>81</v>
      </c>
      <c r="V40" s="118">
        <v>450</v>
      </c>
      <c r="W40" s="69"/>
    </row>
    <row r="41" spans="9:23" ht="21" x14ac:dyDescent="0.4">
      <c r="J41" s="132" t="s">
        <v>94</v>
      </c>
      <c r="K41" s="133"/>
      <c r="L41" s="133"/>
      <c r="M41" s="133"/>
      <c r="N41" s="122">
        <f>SUM(N31:N40)</f>
        <v>1354</v>
      </c>
      <c r="Q41" s="159"/>
      <c r="R41" s="67" t="s">
        <v>82</v>
      </c>
      <c r="S41" s="68" t="s">
        <v>83</v>
      </c>
      <c r="T41" s="68">
        <v>4</v>
      </c>
      <c r="U41" s="68" t="s">
        <v>84</v>
      </c>
      <c r="V41" s="118">
        <v>170</v>
      </c>
      <c r="W41" s="69"/>
    </row>
    <row r="42" spans="9:23" ht="18" x14ac:dyDescent="0.35">
      <c r="J42" s="128" t="s">
        <v>95</v>
      </c>
      <c r="K42" s="128"/>
      <c r="L42" s="128"/>
      <c r="M42" s="128"/>
      <c r="N42" s="120">
        <f>N41*0.7</f>
        <v>947.8</v>
      </c>
      <c r="Q42" s="159"/>
      <c r="R42" s="67" t="s">
        <v>69</v>
      </c>
      <c r="S42" s="68" t="s">
        <v>17</v>
      </c>
      <c r="T42" s="68">
        <v>8</v>
      </c>
      <c r="U42" s="68" t="s">
        <v>87</v>
      </c>
      <c r="V42" s="118">
        <v>40</v>
      </c>
      <c r="W42" s="69"/>
    </row>
    <row r="43" spans="9:23" ht="18.600000000000001" thickBot="1" x14ac:dyDescent="0.4">
      <c r="J43" s="129" t="s">
        <v>96</v>
      </c>
      <c r="K43" s="129"/>
      <c r="L43" s="129"/>
      <c r="M43" s="129"/>
      <c r="N43" s="121">
        <f>N41</f>
        <v>1354</v>
      </c>
      <c r="Q43" s="66"/>
      <c r="R43" s="67" t="s">
        <v>71</v>
      </c>
      <c r="S43" s="68" t="s">
        <v>72</v>
      </c>
      <c r="T43" s="68">
        <v>2</v>
      </c>
      <c r="U43" s="68" t="s">
        <v>73</v>
      </c>
      <c r="V43" s="118">
        <v>160</v>
      </c>
      <c r="W43" s="69" t="s">
        <v>91</v>
      </c>
    </row>
    <row r="44" spans="9:23" ht="21.6" thickBot="1" x14ac:dyDescent="0.45">
      <c r="J44" s="130" t="s">
        <v>97</v>
      </c>
      <c r="K44" s="131"/>
      <c r="L44" s="131"/>
      <c r="M44" s="131"/>
      <c r="N44" s="125" t="s">
        <v>102</v>
      </c>
      <c r="Q44" s="70"/>
      <c r="R44" s="71" t="s">
        <v>49</v>
      </c>
      <c r="S44" s="72" t="s">
        <v>60</v>
      </c>
      <c r="T44" s="72">
        <v>1</v>
      </c>
      <c r="U44" s="72" t="s">
        <v>85</v>
      </c>
      <c r="V44" s="119">
        <v>700</v>
      </c>
      <c r="W44" s="73"/>
    </row>
    <row r="45" spans="9:23" ht="21" x14ac:dyDescent="0.4">
      <c r="R45" s="132" t="s">
        <v>94</v>
      </c>
      <c r="S45" s="133"/>
      <c r="T45" s="133"/>
      <c r="U45" s="133"/>
      <c r="V45" s="122">
        <f>SUM(V38:V44)</f>
        <v>2080</v>
      </c>
    </row>
    <row r="46" spans="9:23" ht="18.600000000000001" thickBot="1" x14ac:dyDescent="0.4">
      <c r="R46" s="128" t="s">
        <v>95</v>
      </c>
      <c r="S46" s="128"/>
      <c r="T46" s="128"/>
      <c r="U46" s="128"/>
      <c r="V46" s="120">
        <f>V45*0.7</f>
        <v>1456</v>
      </c>
    </row>
    <row r="47" spans="9:23" ht="18.600000000000001" thickBot="1" x14ac:dyDescent="0.4">
      <c r="I47" s="2" t="s">
        <v>0</v>
      </c>
      <c r="J47" s="2" t="s">
        <v>1</v>
      </c>
      <c r="K47" s="2" t="s">
        <v>2</v>
      </c>
      <c r="L47" s="2" t="s">
        <v>3</v>
      </c>
      <c r="M47" s="2" t="s">
        <v>31</v>
      </c>
      <c r="N47" s="2" t="s">
        <v>93</v>
      </c>
      <c r="O47" s="2" t="s">
        <v>32</v>
      </c>
      <c r="R47" s="129" t="s">
        <v>96</v>
      </c>
      <c r="S47" s="129"/>
      <c r="T47" s="129"/>
      <c r="U47" s="129"/>
      <c r="V47" s="121">
        <f>V45</f>
        <v>2080</v>
      </c>
    </row>
    <row r="48" spans="9:23" ht="21.6" thickBot="1" x14ac:dyDescent="0.45">
      <c r="I48" s="161" t="s">
        <v>61</v>
      </c>
      <c r="J48" s="31" t="s">
        <v>34</v>
      </c>
      <c r="K48" s="32" t="s">
        <v>35</v>
      </c>
      <c r="L48" s="32">
        <v>3</v>
      </c>
      <c r="M48" s="32" t="s">
        <v>36</v>
      </c>
      <c r="N48" s="108">
        <v>425</v>
      </c>
      <c r="O48" s="33"/>
      <c r="R48" s="130" t="s">
        <v>97</v>
      </c>
      <c r="S48" s="131"/>
      <c r="T48" s="131"/>
      <c r="U48" s="131"/>
      <c r="V48" s="123" t="s">
        <v>107</v>
      </c>
    </row>
    <row r="49" spans="9:15" ht="18" x14ac:dyDescent="0.3">
      <c r="I49" s="162"/>
      <c r="J49" s="34" t="s">
        <v>37</v>
      </c>
      <c r="K49" s="35" t="s">
        <v>38</v>
      </c>
      <c r="L49" s="35">
        <v>8</v>
      </c>
      <c r="M49" s="35" t="s">
        <v>100</v>
      </c>
      <c r="N49" s="109">
        <v>150</v>
      </c>
      <c r="O49" s="36"/>
    </row>
    <row r="50" spans="9:15" ht="18" x14ac:dyDescent="0.3">
      <c r="I50" s="162"/>
      <c r="J50" s="34" t="s">
        <v>40</v>
      </c>
      <c r="K50" s="35" t="s">
        <v>41</v>
      </c>
      <c r="L50" s="35">
        <v>8</v>
      </c>
      <c r="M50" s="35" t="s">
        <v>17</v>
      </c>
      <c r="N50" s="109">
        <v>225</v>
      </c>
      <c r="O50" s="36"/>
    </row>
    <row r="51" spans="9:15" ht="18" x14ac:dyDescent="0.3">
      <c r="I51" s="162"/>
      <c r="J51" s="34" t="s">
        <v>42</v>
      </c>
      <c r="K51" s="35" t="s">
        <v>43</v>
      </c>
      <c r="L51" s="35">
        <v>2</v>
      </c>
      <c r="M51" s="35" t="s">
        <v>17</v>
      </c>
      <c r="N51" s="109">
        <v>80</v>
      </c>
      <c r="O51" s="36"/>
    </row>
    <row r="52" spans="9:15" ht="18" x14ac:dyDescent="0.3">
      <c r="I52" s="162"/>
      <c r="J52" s="34" t="s">
        <v>54</v>
      </c>
      <c r="K52" s="35" t="s">
        <v>55</v>
      </c>
      <c r="L52" s="35">
        <v>3</v>
      </c>
      <c r="M52" s="35" t="s">
        <v>56</v>
      </c>
      <c r="N52" s="109">
        <v>500</v>
      </c>
      <c r="O52" s="36"/>
    </row>
    <row r="53" spans="9:15" ht="18" x14ac:dyDescent="0.3">
      <c r="I53" s="162"/>
      <c r="J53" s="34" t="s">
        <v>57</v>
      </c>
      <c r="K53" s="35" t="s">
        <v>45</v>
      </c>
      <c r="L53" s="35">
        <v>30</v>
      </c>
      <c r="M53" s="35" t="s">
        <v>17</v>
      </c>
      <c r="N53" s="109">
        <v>30</v>
      </c>
      <c r="O53" s="36"/>
    </row>
    <row r="54" spans="9:15" ht="18" x14ac:dyDescent="0.3">
      <c r="I54" s="162"/>
      <c r="J54" s="34" t="s">
        <v>58</v>
      </c>
      <c r="K54" s="35" t="s">
        <v>47</v>
      </c>
      <c r="L54" s="35">
        <v>18</v>
      </c>
      <c r="M54" s="35" t="s">
        <v>17</v>
      </c>
      <c r="N54" s="109">
        <v>20</v>
      </c>
      <c r="O54" s="36"/>
    </row>
    <row r="55" spans="9:15" ht="18" x14ac:dyDescent="0.3">
      <c r="I55" s="162"/>
      <c r="J55" s="34" t="s">
        <v>59</v>
      </c>
      <c r="K55" s="35" t="s">
        <v>47</v>
      </c>
      <c r="L55" s="35">
        <v>12</v>
      </c>
      <c r="M55" s="35" t="s">
        <v>17</v>
      </c>
      <c r="N55" s="109">
        <v>50</v>
      </c>
      <c r="O55" s="36"/>
    </row>
    <row r="56" spans="9:15" ht="18" x14ac:dyDescent="0.3">
      <c r="I56" s="162"/>
      <c r="J56" s="34" t="s">
        <v>48</v>
      </c>
      <c r="K56" s="35" t="s">
        <v>17</v>
      </c>
      <c r="L56" s="35">
        <v>8</v>
      </c>
      <c r="M56" s="35" t="s">
        <v>17</v>
      </c>
      <c r="N56" s="109">
        <v>80</v>
      </c>
      <c r="O56" s="36"/>
    </row>
    <row r="57" spans="9:15" ht="18.600000000000001" thickBot="1" x14ac:dyDescent="0.35">
      <c r="I57" s="163"/>
      <c r="J57" s="37" t="s">
        <v>49</v>
      </c>
      <c r="K57" s="38" t="s">
        <v>60</v>
      </c>
      <c r="L57" s="38">
        <v>2</v>
      </c>
      <c r="M57" s="38" t="s">
        <v>51</v>
      </c>
      <c r="N57" s="110">
        <v>600</v>
      </c>
      <c r="O57" s="39"/>
    </row>
    <row r="58" spans="9:15" ht="21" x14ac:dyDescent="0.4">
      <c r="J58" s="132" t="s">
        <v>94</v>
      </c>
      <c r="K58" s="133"/>
      <c r="L58" s="133"/>
      <c r="M58" s="133"/>
      <c r="N58" s="122">
        <f>SUM(N48:N57)</f>
        <v>2160</v>
      </c>
    </row>
    <row r="59" spans="9:15" ht="18" x14ac:dyDescent="0.35">
      <c r="J59" s="128" t="s">
        <v>95</v>
      </c>
      <c r="K59" s="128"/>
      <c r="L59" s="128"/>
      <c r="M59" s="128"/>
      <c r="N59" s="120">
        <f>N58*0.7</f>
        <v>1512</v>
      </c>
    </row>
    <row r="60" spans="9:15" ht="18.600000000000001" thickBot="1" x14ac:dyDescent="0.4">
      <c r="J60" s="129" t="s">
        <v>96</v>
      </c>
      <c r="K60" s="129"/>
      <c r="L60" s="129"/>
      <c r="M60" s="129"/>
      <c r="N60" s="121">
        <f>N58</f>
        <v>2160</v>
      </c>
    </row>
    <row r="61" spans="9:15" ht="21.6" thickBot="1" x14ac:dyDescent="0.45">
      <c r="J61" s="130" t="s">
        <v>97</v>
      </c>
      <c r="K61" s="131"/>
      <c r="L61" s="131"/>
      <c r="M61" s="131"/>
      <c r="N61" s="125" t="s">
        <v>103</v>
      </c>
    </row>
  </sheetData>
  <mergeCells count="55">
    <mergeCell ref="I31:I38"/>
    <mergeCell ref="Q38:Q42"/>
    <mergeCell ref="I39:I40"/>
    <mergeCell ref="I48:I55"/>
    <mergeCell ref="I56:I57"/>
    <mergeCell ref="J41:M41"/>
    <mergeCell ref="J42:M42"/>
    <mergeCell ref="J43:M43"/>
    <mergeCell ref="J44:M44"/>
    <mergeCell ref="B11:E11"/>
    <mergeCell ref="B12:E12"/>
    <mergeCell ref="A1:G1"/>
    <mergeCell ref="I1:O1"/>
    <mergeCell ref="Q1:W1"/>
    <mergeCell ref="A3:A10"/>
    <mergeCell ref="I3:I10"/>
    <mergeCell ref="Q3:Q7"/>
    <mergeCell ref="J11:M11"/>
    <mergeCell ref="J12:M12"/>
    <mergeCell ref="A19:A26"/>
    <mergeCell ref="I17:I24"/>
    <mergeCell ref="Q26:Q30"/>
    <mergeCell ref="B13:E13"/>
    <mergeCell ref="B14:E14"/>
    <mergeCell ref="B27:E27"/>
    <mergeCell ref="B28:E28"/>
    <mergeCell ref="B29:E29"/>
    <mergeCell ref="B30:E30"/>
    <mergeCell ref="J13:M13"/>
    <mergeCell ref="J14:M14"/>
    <mergeCell ref="J25:M25"/>
    <mergeCell ref="J26:M26"/>
    <mergeCell ref="J27:M27"/>
    <mergeCell ref="J28:M28"/>
    <mergeCell ref="Q15:Q19"/>
    <mergeCell ref="J60:M60"/>
    <mergeCell ref="J61:M61"/>
    <mergeCell ref="R8:U8"/>
    <mergeCell ref="R9:U9"/>
    <mergeCell ref="R10:U10"/>
    <mergeCell ref="R11:U11"/>
    <mergeCell ref="R20:U20"/>
    <mergeCell ref="R21:U21"/>
    <mergeCell ref="R22:U22"/>
    <mergeCell ref="R23:U23"/>
    <mergeCell ref="R32:U32"/>
    <mergeCell ref="R33:U33"/>
    <mergeCell ref="R34:U34"/>
    <mergeCell ref="R35:U35"/>
    <mergeCell ref="R45:U45"/>
    <mergeCell ref="R46:U46"/>
    <mergeCell ref="R47:U47"/>
    <mergeCell ref="R48:U48"/>
    <mergeCell ref="J58:M58"/>
    <mergeCell ref="J59:M59"/>
  </mergeCells>
  <printOptions horizontalCentered="1"/>
  <pageMargins left="0.25" right="0.25" top="0.75" bottom="0.75" header="0.3" footer="0.3"/>
  <pageSetup paperSize="11" scale="75" fitToHeight="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5F91-41CB-4F8F-8B8B-C86721C58E0E}">
  <sheetPr>
    <pageSetUpPr fitToPage="1"/>
  </sheetPr>
  <dimension ref="A1:T38"/>
  <sheetViews>
    <sheetView zoomScale="70" zoomScaleNormal="70" zoomScaleSheetLayoutView="40" workbookViewId="0">
      <selection activeCell="C24" sqref="C24"/>
    </sheetView>
  </sheetViews>
  <sheetFormatPr defaultRowHeight="14.4" x14ac:dyDescent="0.3"/>
  <cols>
    <col min="1" max="1" width="9.109375" customWidth="1"/>
    <col min="2" max="2" width="20.109375" customWidth="1"/>
    <col min="3" max="3" width="31.88671875" customWidth="1"/>
    <col min="5" max="5" width="16.33203125" customWidth="1"/>
    <col min="6" max="6" width="13.33203125" customWidth="1"/>
    <col min="9" max="9" width="20" customWidth="1"/>
    <col min="10" max="10" width="28.109375" customWidth="1"/>
    <col min="12" max="12" width="15.109375" customWidth="1"/>
    <col min="13" max="13" width="13" customWidth="1"/>
    <col min="15" max="15" width="12.21875" customWidth="1"/>
    <col min="16" max="16" width="17.21875" customWidth="1"/>
    <col min="17" max="17" width="26.44140625" customWidth="1"/>
    <col min="19" max="19" width="21.5546875" customWidth="1"/>
    <col min="20" max="20" width="13.109375" customWidth="1"/>
  </cols>
  <sheetData>
    <row r="1" spans="1:20" ht="24" thickBot="1" x14ac:dyDescent="0.5">
      <c r="A1" s="147" t="s">
        <v>62</v>
      </c>
      <c r="B1" s="148"/>
      <c r="C1" s="148"/>
      <c r="D1" s="148"/>
      <c r="E1" s="148"/>
      <c r="F1" s="148"/>
      <c r="H1" s="147" t="s">
        <v>63</v>
      </c>
      <c r="I1" s="148"/>
      <c r="J1" s="148"/>
      <c r="K1" s="148"/>
      <c r="L1" s="148"/>
      <c r="M1" s="148"/>
      <c r="O1" s="149" t="s">
        <v>92</v>
      </c>
      <c r="P1" s="149"/>
      <c r="Q1" s="149"/>
      <c r="R1" s="149"/>
      <c r="S1" s="149"/>
      <c r="T1" s="149"/>
    </row>
    <row r="2" spans="1:20" ht="18.600000000000001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H2" s="2" t="s">
        <v>0</v>
      </c>
      <c r="I2" s="2" t="s">
        <v>1</v>
      </c>
      <c r="J2" s="2" t="s">
        <v>2</v>
      </c>
      <c r="K2" s="2" t="s">
        <v>3</v>
      </c>
      <c r="L2" s="2" t="s">
        <v>31</v>
      </c>
      <c r="M2" s="2" t="s">
        <v>32</v>
      </c>
      <c r="O2" s="2" t="s">
        <v>0</v>
      </c>
      <c r="P2" s="2" t="s">
        <v>1</v>
      </c>
      <c r="Q2" s="2" t="s">
        <v>2</v>
      </c>
      <c r="R2" s="2" t="s">
        <v>3</v>
      </c>
      <c r="S2" s="2" t="s">
        <v>64</v>
      </c>
      <c r="T2" s="2" t="s">
        <v>32</v>
      </c>
    </row>
    <row r="3" spans="1:20" ht="17.399999999999999" customHeight="1" x14ac:dyDescent="0.3">
      <c r="A3" s="150" t="s">
        <v>6</v>
      </c>
      <c r="B3" s="76" t="s">
        <v>7</v>
      </c>
      <c r="C3" s="77" t="s">
        <v>8</v>
      </c>
      <c r="D3" s="77">
        <v>2</v>
      </c>
      <c r="E3" s="77" t="s">
        <v>9</v>
      </c>
      <c r="F3" s="78"/>
      <c r="H3" s="153" t="s">
        <v>33</v>
      </c>
      <c r="I3" s="3" t="s">
        <v>34</v>
      </c>
      <c r="J3" s="4" t="s">
        <v>35</v>
      </c>
      <c r="K3" s="4">
        <v>2</v>
      </c>
      <c r="L3" s="4" t="s">
        <v>36</v>
      </c>
      <c r="M3" s="5"/>
      <c r="O3" s="153" t="s">
        <v>65</v>
      </c>
      <c r="P3" s="40" t="s">
        <v>66</v>
      </c>
      <c r="Q3" s="4" t="s">
        <v>13</v>
      </c>
      <c r="R3" s="4">
        <v>2</v>
      </c>
      <c r="S3" s="4" t="s">
        <v>36</v>
      </c>
      <c r="T3" s="5"/>
    </row>
    <row r="4" spans="1:20" ht="18" x14ac:dyDescent="0.3">
      <c r="A4" s="151"/>
      <c r="B4" s="79" t="s">
        <v>10</v>
      </c>
      <c r="C4" s="74" t="s">
        <v>11</v>
      </c>
      <c r="D4" s="74">
        <v>3</v>
      </c>
      <c r="E4" s="74" t="s">
        <v>9</v>
      </c>
      <c r="F4" s="80"/>
      <c r="H4" s="154"/>
      <c r="I4" s="6" t="s">
        <v>37</v>
      </c>
      <c r="J4" s="7" t="s">
        <v>38</v>
      </c>
      <c r="K4" s="7">
        <v>4</v>
      </c>
      <c r="L4" s="7" t="s">
        <v>39</v>
      </c>
      <c r="M4" s="8"/>
      <c r="O4" s="154"/>
      <c r="P4" s="41" t="s">
        <v>67</v>
      </c>
      <c r="Q4" s="7" t="s">
        <v>13</v>
      </c>
      <c r="R4" s="7">
        <v>3</v>
      </c>
      <c r="S4" s="7" t="s">
        <v>68</v>
      </c>
      <c r="T4" s="8"/>
    </row>
    <row r="5" spans="1:20" ht="18" x14ac:dyDescent="0.3">
      <c r="A5" s="151"/>
      <c r="B5" s="79" t="s">
        <v>12</v>
      </c>
      <c r="C5" s="74" t="s">
        <v>13</v>
      </c>
      <c r="D5" s="74">
        <v>3</v>
      </c>
      <c r="E5" s="74" t="s">
        <v>14</v>
      </c>
      <c r="F5" s="80"/>
      <c r="H5" s="154"/>
      <c r="I5" s="6" t="s">
        <v>40</v>
      </c>
      <c r="J5" s="7" t="s">
        <v>41</v>
      </c>
      <c r="K5" s="7">
        <v>4</v>
      </c>
      <c r="L5" s="7" t="s">
        <v>17</v>
      </c>
      <c r="M5" s="8"/>
      <c r="O5" s="154"/>
      <c r="P5" s="41" t="s">
        <v>69</v>
      </c>
      <c r="Q5" s="7" t="s">
        <v>17</v>
      </c>
      <c r="R5" s="7">
        <v>16</v>
      </c>
      <c r="S5" s="7" t="s">
        <v>70</v>
      </c>
      <c r="T5" s="8"/>
    </row>
    <row r="6" spans="1:20" ht="31.8" customHeight="1" x14ac:dyDescent="0.3">
      <c r="A6" s="151"/>
      <c r="B6" s="79" t="s">
        <v>15</v>
      </c>
      <c r="C6" s="74" t="s">
        <v>16</v>
      </c>
      <c r="D6" s="74">
        <v>9</v>
      </c>
      <c r="E6" s="74" t="s">
        <v>17</v>
      </c>
      <c r="F6" s="80"/>
      <c r="H6" s="154"/>
      <c r="I6" s="6" t="s">
        <v>42</v>
      </c>
      <c r="J6" s="7" t="s">
        <v>43</v>
      </c>
      <c r="K6" s="7">
        <v>1</v>
      </c>
      <c r="L6" s="7" t="s">
        <v>17</v>
      </c>
      <c r="M6" s="8"/>
      <c r="O6" s="154"/>
      <c r="P6" s="41" t="s">
        <v>71</v>
      </c>
      <c r="Q6" s="7" t="s">
        <v>72</v>
      </c>
      <c r="R6" s="7">
        <v>2</v>
      </c>
      <c r="S6" s="7" t="s">
        <v>73</v>
      </c>
      <c r="T6" s="8" t="s">
        <v>74</v>
      </c>
    </row>
    <row r="7" spans="1:20" ht="18.600000000000001" thickBot="1" x14ac:dyDescent="0.35">
      <c r="A7" s="151"/>
      <c r="B7" s="79" t="s">
        <v>18</v>
      </c>
      <c r="C7" s="74" t="s">
        <v>19</v>
      </c>
      <c r="D7" s="74">
        <v>18</v>
      </c>
      <c r="E7" s="74" t="s">
        <v>17</v>
      </c>
      <c r="F7" s="80"/>
      <c r="H7" s="154"/>
      <c r="I7" s="6" t="s">
        <v>44</v>
      </c>
      <c r="J7" s="7" t="s">
        <v>45</v>
      </c>
      <c r="K7" s="7">
        <v>20</v>
      </c>
      <c r="L7" s="7" t="s">
        <v>17</v>
      </c>
      <c r="M7" s="8"/>
      <c r="O7" s="155"/>
      <c r="P7" s="42" t="s">
        <v>49</v>
      </c>
      <c r="Q7" s="10" t="s">
        <v>60</v>
      </c>
      <c r="R7" s="10">
        <v>1</v>
      </c>
      <c r="S7" s="10" t="s">
        <v>75</v>
      </c>
      <c r="T7" s="43"/>
    </row>
    <row r="8" spans="1:20" ht="18" x14ac:dyDescent="0.3">
      <c r="A8" s="151"/>
      <c r="B8" s="79" t="s">
        <v>20</v>
      </c>
      <c r="C8" s="74" t="s">
        <v>21</v>
      </c>
      <c r="D8" s="74">
        <v>8</v>
      </c>
      <c r="E8" s="74" t="s">
        <v>17</v>
      </c>
      <c r="F8" s="80"/>
      <c r="H8" s="154"/>
      <c r="I8" s="6" t="s">
        <v>46</v>
      </c>
      <c r="J8" s="7" t="s">
        <v>47</v>
      </c>
      <c r="K8" s="7">
        <v>12</v>
      </c>
      <c r="L8" s="7" t="s">
        <v>17</v>
      </c>
      <c r="M8" s="8"/>
      <c r="O8" s="142" t="s">
        <v>88</v>
      </c>
      <c r="P8" s="44" t="s">
        <v>66</v>
      </c>
      <c r="Q8" s="45" t="s">
        <v>13</v>
      </c>
      <c r="R8" s="45">
        <v>3</v>
      </c>
      <c r="S8" s="45" t="s">
        <v>36</v>
      </c>
      <c r="T8" s="46"/>
    </row>
    <row r="9" spans="1:20" ht="18" x14ac:dyDescent="0.3">
      <c r="A9" s="151"/>
      <c r="B9" s="79" t="s">
        <v>22</v>
      </c>
      <c r="C9" s="74" t="s">
        <v>23</v>
      </c>
      <c r="D9" s="74">
        <v>1</v>
      </c>
      <c r="E9" s="74" t="s">
        <v>24</v>
      </c>
      <c r="F9" s="80"/>
      <c r="H9" s="154"/>
      <c r="I9" s="6" t="s">
        <v>48</v>
      </c>
      <c r="J9" s="7" t="s">
        <v>17</v>
      </c>
      <c r="K9" s="7">
        <v>4</v>
      </c>
      <c r="L9" s="7" t="s">
        <v>17</v>
      </c>
      <c r="M9" s="8"/>
      <c r="O9" s="143"/>
      <c r="P9" s="47" t="s">
        <v>67</v>
      </c>
      <c r="Q9" s="48" t="s">
        <v>13</v>
      </c>
      <c r="R9" s="48">
        <v>6</v>
      </c>
      <c r="S9" s="48" t="s">
        <v>68</v>
      </c>
      <c r="T9" s="49"/>
    </row>
    <row r="10" spans="1:20" ht="18.600000000000001" thickBot="1" x14ac:dyDescent="0.35">
      <c r="A10" s="152"/>
      <c r="B10" s="81" t="s">
        <v>25</v>
      </c>
      <c r="C10" s="82" t="s">
        <v>26</v>
      </c>
      <c r="D10" s="82">
        <v>1</v>
      </c>
      <c r="E10" s="82" t="s">
        <v>14</v>
      </c>
      <c r="F10" s="83" t="s">
        <v>27</v>
      </c>
      <c r="H10" s="155"/>
      <c r="I10" s="9" t="s">
        <v>49</v>
      </c>
      <c r="J10" s="10" t="s">
        <v>50</v>
      </c>
      <c r="K10" s="10">
        <v>1</v>
      </c>
      <c r="L10" s="10" t="s">
        <v>51</v>
      </c>
      <c r="M10" s="11"/>
      <c r="O10" s="143"/>
      <c r="P10" s="47" t="s">
        <v>69</v>
      </c>
      <c r="Q10" s="48" t="s">
        <v>17</v>
      </c>
      <c r="R10" s="48">
        <v>32</v>
      </c>
      <c r="S10" s="48" t="s">
        <v>89</v>
      </c>
      <c r="T10" s="49"/>
    </row>
    <row r="11" spans="1:20" ht="36" x14ac:dyDescent="0.3">
      <c r="A11" s="134" t="s">
        <v>28</v>
      </c>
      <c r="B11" s="84" t="s">
        <v>7</v>
      </c>
      <c r="C11" s="85" t="s">
        <v>8</v>
      </c>
      <c r="D11" s="85">
        <v>2</v>
      </c>
      <c r="E11" s="85" t="s">
        <v>9</v>
      </c>
      <c r="F11" s="86"/>
      <c r="H11" s="137" t="s">
        <v>52</v>
      </c>
      <c r="I11" s="12" t="s">
        <v>34</v>
      </c>
      <c r="J11" s="13" t="s">
        <v>35</v>
      </c>
      <c r="K11" s="13">
        <v>3</v>
      </c>
      <c r="L11" s="13" t="s">
        <v>36</v>
      </c>
      <c r="M11" s="14"/>
      <c r="O11" s="143"/>
      <c r="P11" s="47" t="s">
        <v>71</v>
      </c>
      <c r="Q11" s="48" t="s">
        <v>72</v>
      </c>
      <c r="R11" s="48">
        <v>2</v>
      </c>
      <c r="S11" s="48" t="s">
        <v>73</v>
      </c>
      <c r="T11" s="49" t="s">
        <v>74</v>
      </c>
    </row>
    <row r="12" spans="1:20" ht="18.600000000000001" thickBot="1" x14ac:dyDescent="0.35">
      <c r="A12" s="135"/>
      <c r="B12" s="87" t="s">
        <v>10</v>
      </c>
      <c r="C12" s="75" t="s">
        <v>11</v>
      </c>
      <c r="D12" s="75">
        <v>4</v>
      </c>
      <c r="E12" s="75" t="s">
        <v>9</v>
      </c>
      <c r="F12" s="88"/>
      <c r="H12" s="138"/>
      <c r="I12" s="15" t="s">
        <v>37</v>
      </c>
      <c r="J12" s="16" t="s">
        <v>38</v>
      </c>
      <c r="K12" s="16">
        <v>8</v>
      </c>
      <c r="L12" s="16" t="s">
        <v>39</v>
      </c>
      <c r="M12" s="17"/>
      <c r="O12" s="144"/>
      <c r="P12" s="50" t="s">
        <v>49</v>
      </c>
      <c r="Q12" s="51" t="s">
        <v>60</v>
      </c>
      <c r="R12" s="51">
        <v>1</v>
      </c>
      <c r="S12" s="51" t="s">
        <v>90</v>
      </c>
      <c r="T12" s="52"/>
    </row>
    <row r="13" spans="1:20" ht="18" x14ac:dyDescent="0.3">
      <c r="A13" s="135"/>
      <c r="B13" s="87" t="s">
        <v>12</v>
      </c>
      <c r="C13" s="75" t="s">
        <v>13</v>
      </c>
      <c r="D13" s="75">
        <v>3</v>
      </c>
      <c r="E13" s="75" t="s">
        <v>29</v>
      </c>
      <c r="F13" s="88"/>
      <c r="H13" s="138"/>
      <c r="I13" s="15" t="s">
        <v>40</v>
      </c>
      <c r="J13" s="16" t="s">
        <v>41</v>
      </c>
      <c r="K13" s="16">
        <v>8</v>
      </c>
      <c r="L13" s="16" t="s">
        <v>17</v>
      </c>
      <c r="M13" s="17"/>
      <c r="O13" s="140" t="s">
        <v>86</v>
      </c>
      <c r="P13" s="53" t="s">
        <v>77</v>
      </c>
      <c r="Q13" s="54" t="s">
        <v>13</v>
      </c>
      <c r="R13" s="54">
        <v>2</v>
      </c>
      <c r="S13" s="54" t="s">
        <v>36</v>
      </c>
      <c r="T13" s="55"/>
    </row>
    <row r="14" spans="1:20" ht="18" x14ac:dyDescent="0.3">
      <c r="A14" s="135"/>
      <c r="B14" s="87" t="s">
        <v>15</v>
      </c>
      <c r="C14" s="75" t="s">
        <v>16</v>
      </c>
      <c r="D14" s="75">
        <v>12</v>
      </c>
      <c r="E14" s="75" t="s">
        <v>17</v>
      </c>
      <c r="F14" s="88"/>
      <c r="H14" s="138"/>
      <c r="I14" s="15" t="s">
        <v>42</v>
      </c>
      <c r="J14" s="16" t="s">
        <v>43</v>
      </c>
      <c r="K14" s="16">
        <v>2</v>
      </c>
      <c r="L14" s="16" t="s">
        <v>17</v>
      </c>
      <c r="M14" s="17"/>
      <c r="O14" s="141"/>
      <c r="P14" s="56" t="s">
        <v>67</v>
      </c>
      <c r="Q14" s="57" t="s">
        <v>13</v>
      </c>
      <c r="R14" s="57">
        <v>3</v>
      </c>
      <c r="S14" s="57" t="s">
        <v>78</v>
      </c>
      <c r="T14" s="58"/>
    </row>
    <row r="15" spans="1:20" ht="18" x14ac:dyDescent="0.3">
      <c r="A15" s="135"/>
      <c r="B15" s="87" t="s">
        <v>18</v>
      </c>
      <c r="C15" s="75" t="s">
        <v>19</v>
      </c>
      <c r="D15" s="75">
        <v>24</v>
      </c>
      <c r="E15" s="75" t="s">
        <v>17</v>
      </c>
      <c r="F15" s="88"/>
      <c r="H15" s="138"/>
      <c r="I15" s="15" t="s">
        <v>44</v>
      </c>
      <c r="J15" s="16" t="s">
        <v>45</v>
      </c>
      <c r="K15" s="16">
        <v>30</v>
      </c>
      <c r="L15" s="16" t="s">
        <v>17</v>
      </c>
      <c r="M15" s="17"/>
      <c r="O15" s="141"/>
      <c r="P15" s="56" t="s">
        <v>54</v>
      </c>
      <c r="Q15" s="57" t="s">
        <v>80</v>
      </c>
      <c r="R15" s="57">
        <v>2</v>
      </c>
      <c r="S15" s="57" t="s">
        <v>81</v>
      </c>
      <c r="T15" s="58"/>
    </row>
    <row r="16" spans="1:20" ht="18" x14ac:dyDescent="0.3">
      <c r="A16" s="135"/>
      <c r="B16" s="87" t="s">
        <v>20</v>
      </c>
      <c r="C16" s="75" t="s">
        <v>21</v>
      </c>
      <c r="D16" s="75">
        <v>10</v>
      </c>
      <c r="E16" s="75" t="s">
        <v>17</v>
      </c>
      <c r="F16" s="88"/>
      <c r="H16" s="138"/>
      <c r="I16" s="15" t="s">
        <v>46</v>
      </c>
      <c r="J16" s="16" t="s">
        <v>47</v>
      </c>
      <c r="K16" s="16">
        <v>18</v>
      </c>
      <c r="L16" s="16" t="s">
        <v>17</v>
      </c>
      <c r="M16" s="17"/>
      <c r="O16" s="141"/>
      <c r="P16" s="56" t="s">
        <v>69</v>
      </c>
      <c r="Q16" s="57" t="s">
        <v>17</v>
      </c>
      <c r="R16" s="57">
        <v>8</v>
      </c>
      <c r="S16" s="57" t="s">
        <v>87</v>
      </c>
      <c r="T16" s="58"/>
    </row>
    <row r="17" spans="1:20" ht="18" x14ac:dyDescent="0.3">
      <c r="A17" s="135"/>
      <c r="B17" s="87" t="s">
        <v>22</v>
      </c>
      <c r="C17" s="75" t="s">
        <v>23</v>
      </c>
      <c r="D17" s="75">
        <v>1</v>
      </c>
      <c r="E17" s="75" t="s">
        <v>30</v>
      </c>
      <c r="F17" s="88"/>
      <c r="H17" s="138"/>
      <c r="I17" s="15" t="s">
        <v>48</v>
      </c>
      <c r="J17" s="16" t="s">
        <v>17</v>
      </c>
      <c r="K17" s="16">
        <v>8</v>
      </c>
      <c r="L17" s="16" t="s">
        <v>17</v>
      </c>
      <c r="M17" s="17"/>
      <c r="O17" s="141"/>
      <c r="P17" s="56" t="s">
        <v>71</v>
      </c>
      <c r="Q17" s="57" t="s">
        <v>72</v>
      </c>
      <c r="R17" s="57">
        <v>2</v>
      </c>
      <c r="S17" s="57" t="s">
        <v>73</v>
      </c>
      <c r="T17" s="58" t="s">
        <v>74</v>
      </c>
    </row>
    <row r="18" spans="1:20" ht="18.600000000000001" thickBot="1" x14ac:dyDescent="0.35">
      <c r="A18" s="136"/>
      <c r="B18" s="89" t="s">
        <v>25</v>
      </c>
      <c r="C18" s="90" t="s">
        <v>26</v>
      </c>
      <c r="D18" s="90">
        <v>1</v>
      </c>
      <c r="E18" s="90" t="s">
        <v>29</v>
      </c>
      <c r="F18" s="91" t="s">
        <v>27</v>
      </c>
      <c r="H18" s="139"/>
      <c r="I18" s="18" t="s">
        <v>49</v>
      </c>
      <c r="J18" s="19" t="s">
        <v>50</v>
      </c>
      <c r="K18" s="19">
        <v>2</v>
      </c>
      <c r="L18" s="19" t="s">
        <v>51</v>
      </c>
      <c r="M18" s="20"/>
      <c r="O18" s="59"/>
      <c r="P18" s="60" t="s">
        <v>49</v>
      </c>
      <c r="Q18" s="61" t="s">
        <v>60</v>
      </c>
      <c r="R18" s="61">
        <v>1</v>
      </c>
      <c r="S18" s="61" t="s">
        <v>51</v>
      </c>
      <c r="T18" s="62"/>
    </row>
    <row r="19" spans="1:20" ht="15" customHeight="1" x14ac:dyDescent="0.3">
      <c r="H19" s="156" t="s">
        <v>53</v>
      </c>
      <c r="I19" s="21" t="s">
        <v>34</v>
      </c>
      <c r="J19" s="22" t="s">
        <v>35</v>
      </c>
      <c r="K19" s="22">
        <v>2</v>
      </c>
      <c r="L19" s="22" t="s">
        <v>36</v>
      </c>
      <c r="M19" s="23"/>
      <c r="O19" s="158" t="s">
        <v>76</v>
      </c>
      <c r="P19" s="63" t="s">
        <v>77</v>
      </c>
      <c r="Q19" s="64" t="s">
        <v>13</v>
      </c>
      <c r="R19" s="64">
        <v>3</v>
      </c>
      <c r="S19" s="64" t="s">
        <v>78</v>
      </c>
      <c r="T19" s="65"/>
    </row>
    <row r="20" spans="1:20" ht="18" x14ac:dyDescent="0.3">
      <c r="H20" s="157"/>
      <c r="I20" s="24" t="s">
        <v>37</v>
      </c>
      <c r="J20" s="25" t="s">
        <v>38</v>
      </c>
      <c r="K20" s="25">
        <v>4</v>
      </c>
      <c r="L20" s="25" t="s">
        <v>39</v>
      </c>
      <c r="M20" s="26"/>
      <c r="O20" s="159"/>
      <c r="P20" s="67" t="s">
        <v>67</v>
      </c>
      <c r="Q20" s="68" t="s">
        <v>13</v>
      </c>
      <c r="R20" s="68">
        <v>4</v>
      </c>
      <c r="S20" s="68" t="s">
        <v>79</v>
      </c>
      <c r="T20" s="69"/>
    </row>
    <row r="21" spans="1:20" ht="18" x14ac:dyDescent="0.3">
      <c r="H21" s="157"/>
      <c r="I21" s="24" t="s">
        <v>40</v>
      </c>
      <c r="J21" s="25" t="s">
        <v>41</v>
      </c>
      <c r="K21" s="25">
        <v>4</v>
      </c>
      <c r="L21" s="25" t="s">
        <v>17</v>
      </c>
      <c r="M21" s="26"/>
      <c r="O21" s="159"/>
      <c r="P21" s="67" t="s">
        <v>54</v>
      </c>
      <c r="Q21" s="68" t="s">
        <v>80</v>
      </c>
      <c r="R21" s="68">
        <v>2</v>
      </c>
      <c r="S21" s="68" t="s">
        <v>81</v>
      </c>
      <c r="T21" s="69"/>
    </row>
    <row r="22" spans="1:20" ht="18" x14ac:dyDescent="0.3">
      <c r="H22" s="157"/>
      <c r="I22" s="24" t="s">
        <v>42</v>
      </c>
      <c r="J22" s="25" t="s">
        <v>43</v>
      </c>
      <c r="K22" s="25">
        <v>1</v>
      </c>
      <c r="L22" s="25" t="s">
        <v>17</v>
      </c>
      <c r="M22" s="26"/>
      <c r="O22" s="159"/>
      <c r="P22" s="67" t="s">
        <v>82</v>
      </c>
      <c r="Q22" s="68" t="s">
        <v>83</v>
      </c>
      <c r="R22" s="68">
        <v>4</v>
      </c>
      <c r="S22" s="68" t="s">
        <v>84</v>
      </c>
      <c r="T22" s="69"/>
    </row>
    <row r="23" spans="1:20" ht="18" x14ac:dyDescent="0.3">
      <c r="H23" s="157"/>
      <c r="I23" s="24" t="s">
        <v>54</v>
      </c>
      <c r="J23" s="25" t="s">
        <v>55</v>
      </c>
      <c r="K23" s="25">
        <v>2</v>
      </c>
      <c r="L23" s="25" t="s">
        <v>56</v>
      </c>
      <c r="M23" s="26"/>
      <c r="O23" s="159"/>
      <c r="P23" s="67" t="s">
        <v>69</v>
      </c>
      <c r="Q23" s="68" t="s">
        <v>17</v>
      </c>
      <c r="R23" s="68">
        <v>8</v>
      </c>
      <c r="S23" s="68" t="s">
        <v>87</v>
      </c>
      <c r="T23" s="69"/>
    </row>
    <row r="24" spans="1:20" ht="18" x14ac:dyDescent="0.3">
      <c r="H24" s="157"/>
      <c r="I24" s="24" t="s">
        <v>57</v>
      </c>
      <c r="J24" s="25" t="s">
        <v>45</v>
      </c>
      <c r="K24" s="25">
        <v>20</v>
      </c>
      <c r="L24" s="25" t="s">
        <v>17</v>
      </c>
      <c r="M24" s="26"/>
      <c r="O24" s="66"/>
      <c r="P24" s="67" t="s">
        <v>71</v>
      </c>
      <c r="Q24" s="68" t="s">
        <v>72</v>
      </c>
      <c r="R24" s="68">
        <v>2</v>
      </c>
      <c r="S24" s="68" t="s">
        <v>73</v>
      </c>
      <c r="T24" s="69" t="s">
        <v>91</v>
      </c>
    </row>
    <row r="25" spans="1:20" ht="36.6" thickBot="1" x14ac:dyDescent="0.35">
      <c r="H25" s="157"/>
      <c r="I25" s="24" t="s">
        <v>58</v>
      </c>
      <c r="J25" s="25" t="s">
        <v>47</v>
      </c>
      <c r="K25" s="25">
        <v>12</v>
      </c>
      <c r="L25" s="25" t="s">
        <v>17</v>
      </c>
      <c r="M25" s="26"/>
      <c r="O25" s="70"/>
      <c r="P25" s="71" t="s">
        <v>49</v>
      </c>
      <c r="Q25" s="72" t="s">
        <v>60</v>
      </c>
      <c r="R25" s="72">
        <v>1</v>
      </c>
      <c r="S25" s="72" t="s">
        <v>85</v>
      </c>
      <c r="T25" s="73"/>
    </row>
    <row r="26" spans="1:20" ht="18" x14ac:dyDescent="0.3">
      <c r="H26" s="157"/>
      <c r="I26" s="24" t="s">
        <v>59</v>
      </c>
      <c r="J26" s="25" t="s">
        <v>47</v>
      </c>
      <c r="K26" s="25">
        <v>8</v>
      </c>
      <c r="L26" s="25" t="s">
        <v>17</v>
      </c>
      <c r="M26" s="27"/>
    </row>
    <row r="27" spans="1:20" ht="18" x14ac:dyDescent="0.3">
      <c r="H27" s="157"/>
      <c r="I27" s="24" t="s">
        <v>48</v>
      </c>
      <c r="J27" s="25" t="s">
        <v>17</v>
      </c>
      <c r="K27" s="25">
        <v>4</v>
      </c>
      <c r="L27" s="25" t="s">
        <v>17</v>
      </c>
      <c r="M27" s="26"/>
    </row>
    <row r="28" spans="1:20" ht="18.600000000000001" thickBot="1" x14ac:dyDescent="0.35">
      <c r="H28" s="160"/>
      <c r="I28" s="28" t="s">
        <v>49</v>
      </c>
      <c r="J28" s="29" t="s">
        <v>60</v>
      </c>
      <c r="K28" s="29">
        <v>1</v>
      </c>
      <c r="L28" s="29" t="s">
        <v>51</v>
      </c>
      <c r="M28" s="30"/>
    </row>
    <row r="29" spans="1:20" ht="18" x14ac:dyDescent="0.3">
      <c r="H29" s="161" t="s">
        <v>61</v>
      </c>
      <c r="I29" s="31" t="s">
        <v>34</v>
      </c>
      <c r="J29" s="32" t="s">
        <v>35</v>
      </c>
      <c r="K29" s="32">
        <v>3</v>
      </c>
      <c r="L29" s="32" t="s">
        <v>36</v>
      </c>
      <c r="M29" s="33"/>
    </row>
    <row r="30" spans="1:20" ht="18" x14ac:dyDescent="0.3">
      <c r="H30" s="162"/>
      <c r="I30" s="34" t="s">
        <v>37</v>
      </c>
      <c r="J30" s="35" t="s">
        <v>38</v>
      </c>
      <c r="K30" s="35">
        <v>8</v>
      </c>
      <c r="L30" s="35" t="s">
        <v>39</v>
      </c>
      <c r="M30" s="36"/>
    </row>
    <row r="31" spans="1:20" ht="18" x14ac:dyDescent="0.3">
      <c r="H31" s="162"/>
      <c r="I31" s="34" t="s">
        <v>40</v>
      </c>
      <c r="J31" s="35" t="s">
        <v>41</v>
      </c>
      <c r="K31" s="35">
        <v>8</v>
      </c>
      <c r="L31" s="35" t="s">
        <v>17</v>
      </c>
      <c r="M31" s="36"/>
    </row>
    <row r="32" spans="1:20" ht="18" x14ac:dyDescent="0.3">
      <c r="H32" s="162"/>
      <c r="I32" s="34" t="s">
        <v>42</v>
      </c>
      <c r="J32" s="35" t="s">
        <v>43</v>
      </c>
      <c r="K32" s="35">
        <v>2</v>
      </c>
      <c r="L32" s="35" t="s">
        <v>17</v>
      </c>
      <c r="M32" s="36"/>
    </row>
    <row r="33" spans="8:13" ht="18" x14ac:dyDescent="0.3">
      <c r="H33" s="162"/>
      <c r="I33" s="34" t="s">
        <v>54</v>
      </c>
      <c r="J33" s="35" t="s">
        <v>55</v>
      </c>
      <c r="K33" s="35">
        <v>2</v>
      </c>
      <c r="L33" s="35" t="s">
        <v>56</v>
      </c>
      <c r="M33" s="36"/>
    </row>
    <row r="34" spans="8:13" ht="18" x14ac:dyDescent="0.3">
      <c r="H34" s="162"/>
      <c r="I34" s="34" t="s">
        <v>57</v>
      </c>
      <c r="J34" s="35" t="s">
        <v>45</v>
      </c>
      <c r="K34" s="35">
        <v>30</v>
      </c>
      <c r="L34" s="35" t="s">
        <v>17</v>
      </c>
      <c r="M34" s="36"/>
    </row>
    <row r="35" spans="8:13" ht="36" x14ac:dyDescent="0.3">
      <c r="H35" s="162"/>
      <c r="I35" s="34" t="s">
        <v>58</v>
      </c>
      <c r="J35" s="35" t="s">
        <v>47</v>
      </c>
      <c r="K35" s="35">
        <v>18</v>
      </c>
      <c r="L35" s="35" t="s">
        <v>17</v>
      </c>
      <c r="M35" s="36"/>
    </row>
    <row r="36" spans="8:13" ht="18" x14ac:dyDescent="0.3">
      <c r="H36" s="162"/>
      <c r="I36" s="34" t="s">
        <v>59</v>
      </c>
      <c r="J36" s="35" t="s">
        <v>47</v>
      </c>
      <c r="K36" s="35">
        <v>12</v>
      </c>
      <c r="L36" s="35" t="s">
        <v>17</v>
      </c>
      <c r="M36" s="36"/>
    </row>
    <row r="37" spans="8:13" ht="18" x14ac:dyDescent="0.3">
      <c r="H37" s="162"/>
      <c r="I37" s="34" t="s">
        <v>48</v>
      </c>
      <c r="J37" s="35" t="s">
        <v>17</v>
      </c>
      <c r="K37" s="35">
        <v>8</v>
      </c>
      <c r="L37" s="35" t="s">
        <v>17</v>
      </c>
      <c r="M37" s="36"/>
    </row>
    <row r="38" spans="8:13" ht="18.600000000000001" thickBot="1" x14ac:dyDescent="0.35">
      <c r="H38" s="163"/>
      <c r="I38" s="37" t="s">
        <v>49</v>
      </c>
      <c r="J38" s="38" t="s">
        <v>60</v>
      </c>
      <c r="K38" s="38">
        <v>2</v>
      </c>
      <c r="L38" s="38" t="s">
        <v>51</v>
      </c>
      <c r="M38" s="39"/>
    </row>
  </sheetData>
  <mergeCells count="15">
    <mergeCell ref="H19:H26"/>
    <mergeCell ref="H27:H28"/>
    <mergeCell ref="H29:H36"/>
    <mergeCell ref="H37:H38"/>
    <mergeCell ref="O1:T1"/>
    <mergeCell ref="O3:O7"/>
    <mergeCell ref="O8:O12"/>
    <mergeCell ref="O13:O17"/>
    <mergeCell ref="O19:O23"/>
    <mergeCell ref="A1:F1"/>
    <mergeCell ref="A3:A10"/>
    <mergeCell ref="A11:A18"/>
    <mergeCell ref="H1:M1"/>
    <mergeCell ref="H11:H18"/>
    <mergeCell ref="H3:H10"/>
  </mergeCells>
  <printOptions horizontalCentered="1"/>
  <pageMargins left="0.25" right="0.25" top="0.75" bottom="0.75" header="0.3" footer="0.3"/>
  <pageSetup paperSize="9" scale="45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Pricing</vt:lpstr>
      <vt:lpstr>BOM Details</vt:lpstr>
      <vt:lpstr>Pricing!Print_Area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Brahim kardous</dc:creator>
  <cp:lastModifiedBy>Brahim kardous</cp:lastModifiedBy>
  <cp:lastPrinted>2026-04-02T06:16:05Z</cp:lastPrinted>
  <dcterms:created xsi:type="dcterms:W3CDTF">2026-03-27T17:42:57Z</dcterms:created>
  <dcterms:modified xsi:type="dcterms:W3CDTF">2026-04-02T16:09:09Z</dcterms:modified>
</cp:coreProperties>
</file>